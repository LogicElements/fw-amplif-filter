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D:\work\gitlab\fw-amplif-filter\Documents\"/>
    </mc:Choice>
  </mc:AlternateContent>
  <xr:revisionPtr revIDLastSave="0" documentId="13_ncr:1_{3CCF7AC2-9E0F-4A4E-A7AE-B2A1F8EDA660}" xr6:coauthVersionLast="47" xr6:coauthVersionMax="47" xr10:uidLastSave="{00000000-0000-0000-0000-000000000000}"/>
  <bookViews>
    <workbookView xWindow="30" yWindow="75" windowWidth="26235" windowHeight="20250"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67" i="25" l="1"/>
  <c r="I68" i="25" s="1"/>
  <c r="K68" i="25" s="1"/>
  <c r="K67" i="25"/>
  <c r="L65" i="25"/>
  <c r="L66" i="25"/>
  <c r="L67" i="25"/>
  <c r="L68" i="25"/>
  <c r="I61" i="25"/>
  <c r="I62" i="25" s="1"/>
  <c r="L60" i="25"/>
  <c r="L64" i="25"/>
  <c r="L57" i="25"/>
  <c r="K54" i="25"/>
  <c r="L54" i="25"/>
  <c r="I54" i="25"/>
  <c r="I55" i="25" s="1"/>
  <c r="I56" i="25" s="1"/>
  <c r="I57" i="25" s="1"/>
  <c r="L31" i="25"/>
  <c r="F8" i="25"/>
  <c r="F9" i="25"/>
  <c r="F10" i="25"/>
  <c r="F11" i="25"/>
  <c r="K57" i="25" l="1"/>
  <c r="I58" i="25"/>
  <c r="I59" i="25" s="1"/>
  <c r="I60" i="25" s="1"/>
  <c r="K55" i="25"/>
  <c r="K56" i="25"/>
  <c r="I63" i="25" l="1"/>
  <c r="I64" i="25" s="1"/>
  <c r="K60" i="25"/>
  <c r="I65" i="25"/>
  <c r="K64" i="25"/>
  <c r="L30" i="25"/>
  <c r="K45" i="25"/>
  <c r="K49" i="25"/>
  <c r="L50" i="25"/>
  <c r="I50" i="25"/>
  <c r="K50" i="25" s="1"/>
  <c r="L49" i="25"/>
  <c r="L45" i="25"/>
  <c r="L29" i="25"/>
  <c r="I66" i="25" l="1"/>
  <c r="K66" i="25" s="1"/>
  <c r="K65" i="25"/>
  <c r="L41" i="25"/>
  <c r="L40" i="25"/>
  <c r="L39" i="25"/>
  <c r="L38" i="25"/>
  <c r="L36" i="25"/>
  <c r="L35" i="25"/>
  <c r="L34" i="25"/>
  <c r="L33" i="25"/>
  <c r="L28" i="25"/>
  <c r="L27" i="25"/>
  <c r="L20" i="25"/>
  <c r="L19" i="25"/>
  <c r="L18" i="25"/>
  <c r="K38" i="25"/>
  <c r="K33" i="25"/>
  <c r="I39" i="25" l="1"/>
  <c r="I40" i="25" l="1"/>
  <c r="K39" i="25"/>
  <c r="I41" i="25" l="1"/>
  <c r="K41" i="25" s="1"/>
  <c r="K40" i="25"/>
  <c r="I18" i="25" l="1"/>
  <c r="F7" i="25"/>
  <c r="F12" i="25"/>
  <c r="K18" i="25" l="1"/>
  <c r="I19" i="25"/>
  <c r="I20" i="25" s="1"/>
  <c r="I21" i="25" s="1"/>
  <c r="I22" i="25" l="1"/>
  <c r="K21" i="25"/>
  <c r="K19" i="25"/>
  <c r="I34" i="25"/>
  <c r="K34" i="25" s="1"/>
  <c r="I23" i="25" l="1"/>
  <c r="K22" i="25"/>
  <c r="K20" i="25"/>
  <c r="I35" i="25"/>
  <c r="K23" i="25" l="1"/>
  <c r="I24" i="25"/>
  <c r="K24" i="25" s="1"/>
  <c r="I25" i="25"/>
  <c r="I36" i="25"/>
  <c r="K36" i="25" s="1"/>
  <c r="K35" i="25"/>
  <c r="I26" i="25" l="1"/>
  <c r="K25" i="25"/>
  <c r="I27" i="25" l="1"/>
  <c r="K26" i="25"/>
  <c r="I28" i="25" l="1"/>
  <c r="K27" i="25"/>
  <c r="I29" i="25" l="1"/>
  <c r="K28" i="25"/>
  <c r="I30" i="25" l="1"/>
  <c r="K29" i="25"/>
  <c r="K30" i="25" l="1"/>
  <c r="I31" i="25"/>
  <c r="K31" i="25" s="1"/>
</calcChain>
</file>

<file path=xl/sharedStrings.xml><?xml version="1.0" encoding="utf-8"?>
<sst xmlns="http://schemas.openxmlformats.org/spreadsheetml/2006/main" count="407" uniqueCount="263">
  <si>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</si>
  <si>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</si>
  <si>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</si>
  <si>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</si>
  <si>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</si>
  <si>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</si>
  <si>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</si>
  <si>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</si>
  <si>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</si>
  <si>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</si>
  <si>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</si>
  <si>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</si>
  <si>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</si>
  <si>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</si>
  <si>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</si>
  <si>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</si>
  <si>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</si>
  <si>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</si>
  <si>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</si>
  <si>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</si>
  <si>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</si>
  <si>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</si>
  <si>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</si>
  <si>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</si>
  <si>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</si>
  <si>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</si>
  <si>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</si>
  <si>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</si>
  <si>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</si>
  <si>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</si>
  <si>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</si>
  <si>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</si>
  <si>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</si>
  <si>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</si>
  <si>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</si>
  <si>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</si>
  <si>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</si>
  <si>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</si>
  <si>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</si>
  <si>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</si>
  <si>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</si>
  <si>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</si>
  <si>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</si>
  <si>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</si>
  <si>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</si>
  <si>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</si>
  <si>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</si>
  <si>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</si>
  <si>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</si>
  <si>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</si>
  <si>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</si>
  <si>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</si>
  <si>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</si>
  <si>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</si>
  <si>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</si>
  <si>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</si>
  <si>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</si>
  <si>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</si>
  <si>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</si>
  <si>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</si>
  <si>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</si>
  <si>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</si>
  <si>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</si>
  <si>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</si>
  <si>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</si>
  <si>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</si>
  <si>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</si>
  <si>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</si>
  <si>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</si>
  <si>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</si>
  <si>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</si>
  <si>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</si>
  <si>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</si>
  <si>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</si>
  <si>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</si>
  <si>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</si>
  <si>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</si>
  <si>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</si>
  <si>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</si>
  <si>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</si>
  <si>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</si>
  <si>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</si>
  <si>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</si>
  <si>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</si>
  <si>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</si>
  <si>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</si>
  <si>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</si>
  <si>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</si>
  <si>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</si>
  <si>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</si>
  <si>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</si>
  <si>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</si>
  <si>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</si>
  <si>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</si>
  <si>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</si>
  <si>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</si>
  <si>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</si>
  <si>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</si>
  <si>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</si>
  <si>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</si>
  <si>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</si>
  <si>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</si>
  <si>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</si>
  <si>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</si>
  <si>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</si>
  <si>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</si>
  <si>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</si>
  <si>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</si>
  <si>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</si>
  <si>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</si>
  <si>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</si>
  <si>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</si>
  <si>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</si>
  <si>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</si>
  <si>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</si>
  <si>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</si>
  <si>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</si>
  <si>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</si>
  <si>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</si>
  <si>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</si>
  <si>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</si>
  <si>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</si>
  <si>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</si>
  <si>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</si>
  <si>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</si>
  <si>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</si>
  <si>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</si>
  <si>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</si>
  <si>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</si>
  <si>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</si>
  <si>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</si>
  <si>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</si>
  <si>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</si>
  <si>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</si>
  <si>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</si>
  <si>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</si>
  <si>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</si>
  <si>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</si>
  <si>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</si>
  <si>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</si>
  <si>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</si>
  <si>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</si>
  <si>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</si>
  <si>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</si>
  <si>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</si>
  <si>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</si>
  <si>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</si>
  <si>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</si>
  <si>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</si>
  <si>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</si>
  <si>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</si>
  <si>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</si>
  <si>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</si>
  <si>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</si>
  <si>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</si>
  <si>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</si>
  <si>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</si>
  <si>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</si>
  <si>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</si>
  <si>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</si>
  <si>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</si>
  <si>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</si>
  <si>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</si>
  <si>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</si>
  <si>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</si>
  <si>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</si>
  <si>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</si>
  <si>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</si>
  <si>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</si>
  <si>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</si>
  <si>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</si>
  <si>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</si>
  <si>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</si>
  <si>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</si>
  <si>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</si>
  <si>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</si>
  <si>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</si>
  <si>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</si>
  <si>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</si>
  <si>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</si>
  <si>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</si>
  <si>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</si>
  <si>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CALIB</t>
  </si>
  <si>
    <t>CALIBRATION</t>
  </si>
  <si>
    <t>COM</t>
  </si>
  <si>
    <t>COMMUNICATION</t>
  </si>
  <si>
    <t>Modbus communication parameters</t>
  </si>
  <si>
    <t>Calibration data and handling</t>
  </si>
  <si>
    <t>STAT_BIT_MB_TIMEOUT</t>
  </si>
  <si>
    <t>Modbus timeout</t>
  </si>
  <si>
    <t>No modbus communication for timeout period</t>
  </si>
  <si>
    <t>IO_INPUT</t>
  </si>
  <si>
    <t>Input signals</t>
  </si>
  <si>
    <t>Set of input signals. 
Bits 0-4 - Modbus address offset
Bits 5-8 - Bootstrap
Bit 9 - Pushbutton</t>
  </si>
  <si>
    <t>RESERVED</t>
  </si>
  <si>
    <t>WRITES_CONF</t>
  </si>
  <si>
    <t>DBG</t>
  </si>
  <si>
    <t>Configuration writes</t>
  </si>
  <si>
    <t>writes</t>
  </si>
  <si>
    <t>Number of writes into internal configuration flash memory (size 4kB, entry 128 B, total endurance 10000 * 4096 / 128 = 320000)</t>
  </si>
  <si>
    <t>MODE</t>
  </si>
  <si>
    <t>Calibration mode</t>
  </si>
  <si>
    <t>Debug information</t>
  </si>
  <si>
    <t>Error code</t>
  </si>
  <si>
    <t>Set calibration resistance values to all channels.
Value 0 - calibration disabled</t>
  </si>
  <si>
    <t>ms</t>
  </si>
  <si>
    <t>TICK</t>
  </si>
  <si>
    <t>Tick</t>
  </si>
  <si>
    <t>Internal millisecond tick</t>
  </si>
  <si>
    <t>0xF</t>
  </si>
  <si>
    <t>ENABLE</t>
  </si>
  <si>
    <t>Enable detection</t>
  </si>
  <si>
    <t>HA 100</t>
  </si>
  <si>
    <t>Enable phase detection and measuring.</t>
  </si>
  <si>
    <t>PH_EN_DISABLE</t>
  </si>
  <si>
    <t>Disable</t>
  </si>
  <si>
    <t>Phase detector does not evaluate state of Lines</t>
  </si>
  <si>
    <t>PH_EN_ENABLE</t>
  </si>
  <si>
    <t>Enable</t>
  </si>
  <si>
    <t>Phase detector detects all Line wires and evaluate zero crossing and time measurement</t>
  </si>
  <si>
    <t>D:\work\gitlab\fw-phase-det-2\Documents\txts\PhaseDet2_Modbus.json</t>
  </si>
  <si>
    <t>D:\work\gitlab\fw-amplif-filter\Documents\txts\AmplifFilter_Define.txt</t>
  </si>
  <si>
    <t>D:\work\gitlab\fw-amplif-filter\Documents\txts\AmplifFilter_Storage.txt</t>
  </si>
  <si>
    <t>D:\work\gitlab\fw-amplif-filter\Documents\txts\AmplifFilter_Factory.txt</t>
  </si>
  <si>
    <t>D:\work\gitlab\fw-amplif-filter\Documents\txts\reg_map.c</t>
  </si>
  <si>
    <t>D:\work\gitlab\fw-amplif-filter\Documents\txts\AmplifFilter_Registers.json</t>
  </si>
  <si>
    <t>D:\work\gitlab\fw-amplif-filter\Documents\txts\AmplifFilter_registers.json</t>
  </si>
  <si>
    <t>D:\work\gitlab\fw-amplif-filter\Documents\txts\AmplifFilterRegs.py</t>
  </si>
  <si>
    <t>MEAS</t>
  </si>
  <si>
    <t>MEASUREMENT</t>
  </si>
  <si>
    <t>Analog signal measurement</t>
  </si>
  <si>
    <t>MEAS_MD_RAW</t>
  </si>
  <si>
    <t>MEAS_MD_FILTER</t>
  </si>
  <si>
    <t>Mode of measurement</t>
  </si>
  <si>
    <t>RAW</t>
  </si>
  <si>
    <t>AVERAGE</t>
  </si>
  <si>
    <t>THRESHLOD</t>
  </si>
  <si>
    <t>HYSTERESIS</t>
  </si>
  <si>
    <t>TRIGGER</t>
  </si>
  <si>
    <t>MEAS_TRG_NONE</t>
  </si>
  <si>
    <t>MEAS_TRG_RISING</t>
  </si>
  <si>
    <t>MEAS_TRG_FALLING</t>
  </si>
  <si>
    <t>Raw value</t>
  </si>
  <si>
    <t>Average value</t>
  </si>
  <si>
    <t>Filtered value</t>
  </si>
  <si>
    <t>Trigger condition</t>
  </si>
  <si>
    <t>No trigger</t>
  </si>
  <si>
    <t>TBD</t>
  </si>
  <si>
    <t>Threshold</t>
  </si>
  <si>
    <t>Hysteresis</t>
  </si>
  <si>
    <t>V</t>
  </si>
  <si>
    <t>Rising edge</t>
  </si>
  <si>
    <t>Falling edge</t>
  </si>
  <si>
    <t>Preprocessing mode of signal measurement</t>
  </si>
  <si>
    <t>No filtering</t>
  </si>
  <si>
    <t>FIR filtering</t>
  </si>
  <si>
    <t>Disable triggering</t>
  </si>
  <si>
    <t>Value rising above threshold + hysteresis</t>
  </si>
  <si>
    <t>Value falling below threshold - hysteresis</t>
  </si>
  <si>
    <t>Raw value of analog signal</t>
  </si>
  <si>
    <t>Average value of analgo signal</t>
  </si>
  <si>
    <t>Threshold value for triggering</t>
  </si>
  <si>
    <t>Hysteresis value for triggering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</si>
</sst>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7">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2" fillId="2" borderId="0" xfId="0" applyFont="1" applyFill="1" applyAlignment="1">
      <alignment horizontal="left"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11</xdr:col>
          <xdr:colOff>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11</xdr:col>
          <xdr:colOff>9525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11</xdr:col>
          <xdr:colOff>9525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11</xdr:col>
          <xdr:colOff>9525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15"/>
  <sheetViews>
    <sheetView tabSelected="1" topLeftCell="B1" zoomScaleNormal="100" workbookViewId="0">
      <selection activeCell="T4" sqref="T4"/>
    </sheetView>
  </sheetViews>
  <sheetFormatPr defaultColWidth="9.140625" defaultRowHeight="15" x14ac:dyDescent="0.25"/>
  <cols>
    <col min="1" max="1" width="2.28515625" style="12" customWidth="1"/>
    <col min="2" max="3" width="2.140625" style="12" customWidth="1"/>
    <col min="4" max="4" width="1.5703125" style="12" customWidth="1"/>
    <col min="5" max="5" width="25" style="12" customWidth="1"/>
    <col min="6" max="6" width="8.42578125" style="10" customWidth="1"/>
    <col min="7" max="7" width="6.85546875" style="10" customWidth="1"/>
    <col min="8" max="8" width="5.42578125" style="10" customWidth="1"/>
    <col min="9" max="9" width="8.42578125" style="10" customWidth="1"/>
    <col min="10" max="10" width="7.85546875" style="10" customWidth="1"/>
    <col min="11" max="11" width="11.5703125" style="12" customWidth="1"/>
    <col min="12" max="12" width="32"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144</v>
      </c>
      <c r="L3" s="8" t="s">
        <v>224</v>
      </c>
      <c r="T3" s="31"/>
    </row>
    <row r="4" spans="1:26" ht="24.95" customHeight="1" x14ac:dyDescent="0.25">
      <c r="D4" s="31" t="s">
        <v>18</v>
      </c>
      <c r="E4" s="31"/>
      <c r="F4" s="31" t="s">
        <v>113</v>
      </c>
      <c r="J4" s="3" t="s">
        <v>1</v>
      </c>
      <c r="K4" s="9" t="s">
        <v>5</v>
      </c>
      <c r="L4" s="8" t="s">
        <v>221</v>
      </c>
      <c r="M4" s="11"/>
      <c r="U4" s="12" t="s">
        <v>1</v>
      </c>
      <c r="Z4" s="10"/>
    </row>
    <row r="5" spans="1:26" ht="24.95" customHeight="1" x14ac:dyDescent="0.25">
      <c r="D5" s="31" t="s">
        <v>19</v>
      </c>
      <c r="E5" s="31"/>
      <c r="F5" s="31" t="s">
        <v>20</v>
      </c>
      <c r="J5" s="3" t="s">
        <v>1</v>
      </c>
      <c r="K5" s="9" t="s">
        <v>100</v>
      </c>
      <c r="L5" s="8" t="s">
        <v>225</v>
      </c>
      <c r="M5" s="11"/>
      <c r="U5" s="12" t="s">
        <v>1</v>
      </c>
      <c r="Z5" s="10"/>
    </row>
    <row r="6" spans="1:26" ht="24.95" customHeight="1" x14ac:dyDescent="0.25">
      <c r="D6" s="31" t="s">
        <v>63</v>
      </c>
      <c r="E6" s="13"/>
      <c r="F6" s="32">
        <v>1</v>
      </c>
      <c r="J6" s="3" t="s">
        <v>1</v>
      </c>
      <c r="K6" s="9" t="s">
        <v>17</v>
      </c>
      <c r="L6" s="8" t="s">
        <v>222</v>
      </c>
      <c r="M6" s="11"/>
      <c r="U6" s="12" t="s">
        <v>1</v>
      </c>
      <c r="Z6" s="10"/>
    </row>
    <row r="7" spans="1:26" ht="24.95" customHeight="1" x14ac:dyDescent="0.25">
      <c r="D7" s="31" t="s">
        <v>143</v>
      </c>
      <c r="E7" s="13"/>
      <c r="F7" s="31" t="str">
        <f>GetWorkName()</f>
        <v>AmplifFilter</v>
      </c>
      <c r="J7" s="3" t="s">
        <v>1</v>
      </c>
      <c r="K7" s="9" t="s">
        <v>21</v>
      </c>
      <c r="L7" s="8" t="s">
        <v>223</v>
      </c>
      <c r="M7" s="11"/>
      <c r="U7" s="12" t="s">
        <v>1</v>
      </c>
      <c r="Z7" s="10"/>
    </row>
    <row r="8" spans="1:26" ht="24.95" customHeight="1" x14ac:dyDescent="0.25">
      <c r="D8" s="31" t="s">
        <v>117</v>
      </c>
      <c r="E8" s="13"/>
      <c r="F8" s="31" t="str">
        <f>GetPath()&amp;"\..\Firmware\AmplifFilter-App\Core\Common\"</f>
        <v>D:\work\gitlab\fw-amplif-filter\Documents\..\Firmware\AmplifFilter-App\Core\Common\</v>
      </c>
      <c r="J8" s="3" t="s">
        <v>1</v>
      </c>
      <c r="K8" s="9" t="s">
        <v>145</v>
      </c>
      <c r="L8" s="8" t="s">
        <v>220</v>
      </c>
      <c r="M8" s="11"/>
      <c r="U8" s="12" t="s">
        <v>1</v>
      </c>
      <c r="Z8" s="10"/>
    </row>
    <row r="9" spans="1:26" ht="24.95" customHeight="1" x14ac:dyDescent="0.25">
      <c r="D9" s="31" t="s">
        <v>148</v>
      </c>
      <c r="E9" s="13"/>
      <c r="F9" s="31" t="str">
        <f>GetPath()&amp;"\..\Firmware\AmplifFilter-App\Core\Common\"</f>
        <v>D:\work\gitlab\fw-amplif-filter\Documents\..\Firmware\AmplifFilter-App\Core\Common\</v>
      </c>
      <c r="J9" s="3"/>
      <c r="K9" s="9" t="s">
        <v>1</v>
      </c>
      <c r="L9" s="8" t="s">
        <v>227</v>
      </c>
      <c r="M9" s="11"/>
      <c r="Z9" s="10"/>
    </row>
    <row r="10" spans="1:26" ht="24.95" customHeight="1" x14ac:dyDescent="0.25">
      <c r="D10" s="31" t="s">
        <v>153</v>
      </c>
      <c r="E10" s="13"/>
      <c r="F10" s="31" t="str">
        <f>GetPath()&amp;"\..\Tests\AmplifFilter\"</f>
        <v>D:\work\gitlab\fw-amplif-filter\Documents\..\Tests\AmplifFilter\</v>
      </c>
      <c r="K10" s="9" t="s">
        <v>154</v>
      </c>
      <c r="L10" s="8" t="s">
        <v>226</v>
      </c>
      <c r="M10" s="11"/>
    </row>
    <row r="11" spans="1:26" ht="24.75" customHeight="1" x14ac:dyDescent="0.25">
      <c r="D11" s="31" t="s">
        <v>155</v>
      </c>
      <c r="F11" s="31" t="str">
        <f>GetPath()&amp;"\..\Software\SBD\RegMap\json.txt"</f>
        <v>D:\work\gitlab\fw-amplif-filter\Documents\..\Software\SBD\RegMap\json.txt</v>
      </c>
      <c r="K11" s="10"/>
      <c r="M11" s="11"/>
    </row>
    <row r="12" spans="1:26" ht="24.75" customHeight="1" x14ac:dyDescent="0.25">
      <c r="D12" s="31" t="s">
        <v>151</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44"/>
      <c r="B16" s="44"/>
      <c r="C16" s="43"/>
      <c r="D16" s="46" t="s">
        <v>8</v>
      </c>
      <c r="E16" s="48" t="s">
        <v>33</v>
      </c>
      <c r="F16" s="41" t="s">
        <v>10</v>
      </c>
      <c r="G16" s="41" t="s">
        <v>39</v>
      </c>
      <c r="H16" s="41" t="s">
        <v>11</v>
      </c>
      <c r="I16" s="46" t="s">
        <v>0</v>
      </c>
      <c r="J16" s="41" t="s">
        <v>13</v>
      </c>
      <c r="K16" s="46" t="s">
        <v>16</v>
      </c>
      <c r="L16" s="46" t="s">
        <v>2</v>
      </c>
      <c r="M16" s="54" t="s">
        <v>134</v>
      </c>
      <c r="N16" s="41" t="s">
        <v>14</v>
      </c>
      <c r="O16" s="51" t="s">
        <v>118</v>
      </c>
      <c r="P16" s="51" t="s">
        <v>119</v>
      </c>
      <c r="Q16" s="51" t="s">
        <v>123</v>
      </c>
      <c r="R16" s="51" t="s">
        <v>149</v>
      </c>
      <c r="S16" s="53" t="s">
        <v>101</v>
      </c>
      <c r="T16" s="50" t="s">
        <v>4</v>
      </c>
    </row>
    <row r="17" spans="1:20" ht="15" customHeight="1" x14ac:dyDescent="0.25">
      <c r="A17" s="45"/>
      <c r="B17" s="45"/>
      <c r="C17" s="43"/>
      <c r="D17" s="47"/>
      <c r="E17" s="49"/>
      <c r="F17" s="42"/>
      <c r="G17" s="42"/>
      <c r="H17" s="42"/>
      <c r="I17" s="47"/>
      <c r="J17" s="42"/>
      <c r="K17" s="47"/>
      <c r="L17" s="47"/>
      <c r="M17" s="55"/>
      <c r="N17" s="47"/>
      <c r="O17" s="52"/>
      <c r="P17" s="52"/>
      <c r="Q17" s="56"/>
      <c r="R17" s="56"/>
      <c r="S17" s="52"/>
      <c r="T17" s="49"/>
    </row>
    <row r="18" spans="1:20" x14ac:dyDescent="0.2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25">
      <c r="D19" s="13"/>
      <c r="E19" s="11" t="s">
        <v>46</v>
      </c>
      <c r="F19" s="14" t="s">
        <v>32</v>
      </c>
      <c r="G19" s="5" t="s">
        <v>48</v>
      </c>
      <c r="H19" s="5" t="s">
        <v>51</v>
      </c>
      <c r="I19" s="14">
        <f t="shared" ref="I19:I31"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25">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2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2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4"/>
      <c r="T22" t="s">
        <v>164</v>
      </c>
    </row>
    <row r="23" spans="1:20" x14ac:dyDescent="0.2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4"/>
      <c r="T23" s="2" t="s">
        <v>174</v>
      </c>
    </row>
    <row r="24" spans="1:20" s="34" customFormat="1" x14ac:dyDescent="0.2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188</v>
      </c>
      <c r="M24" t="s">
        <v>189</v>
      </c>
      <c r="N24" s="29"/>
      <c r="O24" s="29"/>
      <c r="P24" s="29"/>
      <c r="Q24" s="29"/>
      <c r="R24" s="29"/>
      <c r="T24" t="s">
        <v>190</v>
      </c>
    </row>
    <row r="25" spans="1:20" x14ac:dyDescent="0.2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4"/>
      <c r="T25" t="s">
        <v>161</v>
      </c>
    </row>
    <row r="26" spans="1:20" x14ac:dyDescent="0.2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9"/>
      <c r="O26" s="29"/>
      <c r="P26" s="29"/>
      <c r="Q26" s="29"/>
      <c r="R26" s="29"/>
      <c r="S26" s="34"/>
      <c r="T26" s="2" t="s">
        <v>181</v>
      </c>
    </row>
    <row r="27" spans="1:20" s="13" customFormat="1" ht="90" x14ac:dyDescent="0.25">
      <c r="A27" s="36"/>
      <c r="B27" s="12"/>
      <c r="C27" s="12"/>
      <c r="D27" s="14"/>
      <c r="E27" s="37" t="s">
        <v>165</v>
      </c>
      <c r="F27" s="5" t="s">
        <v>32</v>
      </c>
      <c r="G27" s="5" t="s">
        <v>48</v>
      </c>
      <c r="H27" s="5" t="s">
        <v>50</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166</v>
      </c>
      <c r="N27" s="33"/>
      <c r="O27" s="33">
        <v>0</v>
      </c>
      <c r="P27" s="33">
        <v>9901</v>
      </c>
      <c r="Q27" s="33"/>
      <c r="R27" s="5"/>
      <c r="S27" s="33"/>
      <c r="T27" s="39" t="s">
        <v>178</v>
      </c>
    </row>
    <row r="28" spans="1:20" x14ac:dyDescent="0.25">
      <c r="A28" s="34"/>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4" customFormat="1" x14ac:dyDescent="0.25">
      <c r="D29" s="40"/>
      <c r="E29" t="s">
        <v>191</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192</v>
      </c>
      <c r="N29" s="29"/>
      <c r="O29" s="29">
        <v>0</v>
      </c>
      <c r="P29" s="3" t="s">
        <v>209</v>
      </c>
      <c r="Q29" s="29"/>
      <c r="R29" s="29"/>
      <c r="T29" t="s">
        <v>193</v>
      </c>
    </row>
    <row r="30" spans="1:20" x14ac:dyDescent="0.25">
      <c r="A30" s="34"/>
      <c r="D30" s="14"/>
      <c r="E30" s="2" t="s">
        <v>41</v>
      </c>
      <c r="F30" s="3" t="s">
        <v>32</v>
      </c>
      <c r="G30" s="5" t="s">
        <v>48</v>
      </c>
      <c r="H30" s="18" t="s">
        <v>50</v>
      </c>
      <c r="I30" s="14">
        <f t="shared" si="0"/>
        <v>22</v>
      </c>
      <c r="J30" s="29">
        <v>2</v>
      </c>
      <c r="K30" s="10" t="str">
        <f xml:space="preserve"> IFERROR("0x" &amp; DEC2HEX(VLOOKUP(F30,Common!$C$10:$D$34,2,FALSE),2) &amp; DEC2HEX(I30,3) &amp; DEC2HEX(VLOOKUP(G30,Common!$C$51:$D$55,2,FALSE),1) &amp; DEC2HEX(1+2*VLOOKUP(H30,Common!$C$69:$D$72,2,FALSE),1) &amp; DEC2HEX(IFERROR(LOG(J30,2),0),1),0)</f>
        <v>0x00016151</v>
      </c>
      <c r="L30" s="29" t="str">
        <f>IF(AND(LEN(E30)&lt;&gt;0,S30=""),F30&amp;"_"&amp;UPPER(E30),"")</f>
        <v>SYS_ERROR</v>
      </c>
      <c r="M30" s="2" t="s">
        <v>203</v>
      </c>
      <c r="Q30" s="29"/>
      <c r="R30" s="3"/>
      <c r="S30" s="29"/>
      <c r="T30" s="35"/>
    </row>
    <row r="31" spans="1:20" x14ac:dyDescent="0.25">
      <c r="A31" s="34"/>
      <c r="D31" s="14"/>
      <c r="E31" t="s">
        <v>206</v>
      </c>
      <c r="F31" s="3" t="s">
        <v>32</v>
      </c>
      <c r="G31" s="3" t="s">
        <v>48</v>
      </c>
      <c r="H31" s="3" t="s">
        <v>45</v>
      </c>
      <c r="I31" s="33">
        <f t="shared" si="0"/>
        <v>24</v>
      </c>
      <c r="J31" s="29">
        <v>4</v>
      </c>
      <c r="K31" s="10" t="str">
        <f xml:space="preserve"> IFERROR("0x" &amp; DEC2HEX(VLOOKUP(F31,Common!$C$10:$D$34,2,FALSE),2) &amp; DEC2HEX(I31,3) &amp; DEC2HEX(VLOOKUP(G31,Common!$C$51:$D$55,2,FALSE),1) &amp; DEC2HEX(1+2*VLOOKUP(H31,Common!$C$69:$D$72,2,FALSE),1) &amp; DEC2HEX(IFERROR(LOG(J31,2),0),1),0)</f>
        <v>0x00018112</v>
      </c>
      <c r="L31" s="29" t="str">
        <f>IF(AND(LEN(E31)&lt;&gt;0,S31=""),F31&amp;"_"&amp;UPPER(E31),"")</f>
        <v>SYS_TICK</v>
      </c>
      <c r="M31" t="s">
        <v>207</v>
      </c>
      <c r="N31" s="29"/>
      <c r="O31" s="29"/>
      <c r="P31" s="29"/>
      <c r="Q31" s="3" t="s">
        <v>205</v>
      </c>
      <c r="R31" s="29"/>
      <c r="S31" s="34"/>
      <c r="T31" t="s">
        <v>208</v>
      </c>
    </row>
    <row r="32" spans="1:20" x14ac:dyDescent="0.25">
      <c r="D32" s="14"/>
      <c r="K32" s="10"/>
      <c r="R32" s="3"/>
    </row>
    <row r="33" spans="1:35" x14ac:dyDescent="0.25">
      <c r="A33" s="34"/>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35" x14ac:dyDescent="0.25">
      <c r="A34" s="34"/>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4272</v>
      </c>
      <c r="P34" s="10">
        <v>4272</v>
      </c>
      <c r="R34" s="29"/>
      <c r="T34" t="s">
        <v>177</v>
      </c>
    </row>
    <row r="35" spans="1:35" x14ac:dyDescent="0.25">
      <c r="A35" s="34"/>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35" x14ac:dyDescent="0.25">
      <c r="A36" s="34"/>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35" x14ac:dyDescent="0.25">
      <c r="D37" s="14"/>
      <c r="E37" s="11"/>
      <c r="F37" s="14"/>
      <c r="G37" s="5"/>
      <c r="H37" s="18"/>
      <c r="I37" s="14"/>
      <c r="J37" s="14"/>
      <c r="K37" s="10"/>
      <c r="M37"/>
      <c r="O37" s="3"/>
      <c r="P37" s="3"/>
      <c r="R37" s="29"/>
      <c r="T37"/>
    </row>
    <row r="38" spans="1:35" ht="15" customHeight="1" x14ac:dyDescent="0.25">
      <c r="A38" s="34"/>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35" x14ac:dyDescent="0.25">
      <c r="A39" s="34"/>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20250401</v>
      </c>
      <c r="P39" s="29">
        <v>20300330</v>
      </c>
      <c r="R39" s="29"/>
      <c r="T39" t="s">
        <v>128</v>
      </c>
    </row>
    <row r="40" spans="1:35" x14ac:dyDescent="0.25">
      <c r="A40" s="34"/>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35" x14ac:dyDescent="0.25">
      <c r="A41" s="34"/>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51200</v>
      </c>
      <c r="R41" s="29"/>
      <c r="T41" t="s">
        <v>129</v>
      </c>
    </row>
    <row r="42" spans="1:35" x14ac:dyDescent="0.25">
      <c r="D42" s="15"/>
      <c r="E42" s="2"/>
      <c r="F42" s="5"/>
      <c r="G42" s="5"/>
      <c r="H42" s="18"/>
      <c r="I42" s="14"/>
      <c r="J42" s="14"/>
      <c r="K42" s="10"/>
      <c r="L42" s="3"/>
      <c r="M42"/>
      <c r="R42" s="29"/>
      <c r="T42"/>
    </row>
    <row r="44" spans="1:35" s="10" customFormat="1" x14ac:dyDescent="0.25">
      <c r="A44" s="12"/>
      <c r="B44" s="12"/>
      <c r="C44" s="12"/>
      <c r="D44"/>
      <c r="E44" s="24"/>
      <c r="F44" s="23"/>
      <c r="G44" s="23"/>
      <c r="H44" s="26"/>
      <c r="I44" s="22"/>
      <c r="J44" s="22"/>
      <c r="K44" s="22"/>
      <c r="L44" s="22"/>
      <c r="M44" s="21"/>
      <c r="N44" s="22"/>
      <c r="O44" s="22"/>
      <c r="P44" s="22"/>
      <c r="Q44" s="23"/>
      <c r="R44" s="23"/>
      <c r="S44" s="22"/>
      <c r="T44" s="21"/>
      <c r="U44"/>
      <c r="V44"/>
      <c r="W44"/>
      <c r="X44"/>
      <c r="Y44"/>
      <c r="Z44" s="12"/>
      <c r="AA44" s="12"/>
      <c r="AB44" s="12"/>
      <c r="AC44" s="12"/>
      <c r="AD44" s="12"/>
      <c r="AE44" s="12"/>
      <c r="AF44" s="12"/>
      <c r="AG44" s="12"/>
      <c r="AH44" s="12"/>
      <c r="AI44" s="12"/>
    </row>
    <row r="45" spans="1:35" s="34" customFormat="1" x14ac:dyDescent="0.25">
      <c r="D45" s="40"/>
      <c r="E45" s="2" t="s">
        <v>195</v>
      </c>
      <c r="F45" s="3" t="s">
        <v>196</v>
      </c>
      <c r="G45" s="3" t="s">
        <v>48</v>
      </c>
      <c r="H45" s="3" t="s">
        <v>45</v>
      </c>
      <c r="I45" s="29">
        <v>0</v>
      </c>
      <c r="J45" s="29">
        <v>4</v>
      </c>
      <c r="K45" s="10" t="str">
        <f xml:space="preserve"> IFERROR("0x" &amp; DEC2HEX(VLOOKUP(F45,Common!$C$10:$D$34,2,FALSE),2) &amp; DEC2HEX(I45,3) &amp; DEC2HEX(VLOOKUP(G45,Common!$C$51:$D$55,2,FALSE),1) &amp; DEC2HEX(1+2*VLOOKUP(H45,Common!$C$69:$D$72,2,FALSE),1) &amp; DEC2HEX(IFERROR(LOG(J45,2),0),1),0)</f>
        <v>0x06000112</v>
      </c>
      <c r="L45" s="29" t="str">
        <f>IF(AND(LEN(E45)&lt;&gt;0,S45=""),F45&amp;"_"&amp;UPPER(E45),"")</f>
        <v>DBG_WRITES_CONF</v>
      </c>
      <c r="M45" t="s">
        <v>197</v>
      </c>
      <c r="N45" s="29"/>
      <c r="O45" s="29">
        <v>0</v>
      </c>
      <c r="P45" s="29">
        <v>1000000</v>
      </c>
      <c r="Q45" s="3" t="s">
        <v>198</v>
      </c>
      <c r="R45" s="29"/>
      <c r="S45" s="29"/>
      <c r="T45" t="s">
        <v>199</v>
      </c>
    </row>
    <row r="46" spans="1:35" s="10" customFormat="1" x14ac:dyDescent="0.25">
      <c r="A46" s="12"/>
      <c r="B46" s="12"/>
      <c r="C46" s="12"/>
      <c r="D46"/>
      <c r="E46" s="24"/>
      <c r="F46" s="23"/>
      <c r="G46" s="23"/>
      <c r="H46" s="26"/>
      <c r="I46" s="22"/>
      <c r="J46" s="22"/>
      <c r="K46" s="22"/>
      <c r="L46" s="22"/>
      <c r="M46" s="21"/>
      <c r="N46" s="22"/>
      <c r="O46" s="22"/>
      <c r="P46" s="22"/>
      <c r="Q46" s="23"/>
      <c r="R46" s="23"/>
      <c r="S46" s="22"/>
      <c r="T46" s="21"/>
      <c r="U46"/>
      <c r="V46"/>
      <c r="W46"/>
      <c r="X46"/>
      <c r="Y46"/>
      <c r="Z46" s="12"/>
      <c r="AA46" s="12"/>
      <c r="AB46" s="12"/>
      <c r="AC46" s="12"/>
      <c r="AD46" s="12"/>
      <c r="AE46" s="12"/>
      <c r="AF46" s="12"/>
      <c r="AG46" s="12"/>
      <c r="AH46" s="12"/>
      <c r="AI46" s="12"/>
    </row>
    <row r="47" spans="1:35" s="10" customFormat="1" x14ac:dyDescent="0.25">
      <c r="A47" s="12"/>
      <c r="B47" s="12"/>
      <c r="C47" s="12"/>
      <c r="D47"/>
      <c r="E47" s="24"/>
      <c r="F47" s="23"/>
      <c r="G47" s="23"/>
      <c r="H47" s="26"/>
      <c r="I47" s="22"/>
      <c r="J47" s="22"/>
      <c r="K47" s="22"/>
      <c r="L47" s="22"/>
      <c r="M47" s="21"/>
      <c r="N47" s="22"/>
      <c r="O47" s="22"/>
      <c r="P47" s="22"/>
      <c r="Q47" s="23"/>
      <c r="R47" s="23"/>
      <c r="S47" s="22"/>
      <c r="T47" s="21"/>
      <c r="U47"/>
      <c r="V47"/>
      <c r="W47"/>
      <c r="X47"/>
      <c r="Y47"/>
      <c r="Z47" s="12"/>
      <c r="AA47" s="12"/>
      <c r="AB47" s="12"/>
      <c r="AC47" s="12"/>
      <c r="AD47" s="12"/>
      <c r="AE47" s="12"/>
      <c r="AF47" s="12"/>
      <c r="AG47" s="12"/>
      <c r="AH47" s="12"/>
      <c r="AI47" s="12"/>
    </row>
    <row r="48" spans="1:35" s="10" customFormat="1" x14ac:dyDescent="0.25">
      <c r="A48" s="12"/>
      <c r="B48" s="12"/>
      <c r="C48" s="12"/>
      <c r="D48"/>
      <c r="E48" s="24"/>
      <c r="F48" s="23"/>
      <c r="G48" s="23"/>
      <c r="H48" s="26"/>
      <c r="I48" s="28"/>
      <c r="J48" s="22"/>
      <c r="L48" s="29"/>
      <c r="M48" s="21"/>
      <c r="N48" s="22"/>
      <c r="O48" s="22"/>
      <c r="P48" s="22"/>
      <c r="Q48" s="23"/>
      <c r="R48" s="23"/>
      <c r="S48" s="22"/>
      <c r="T48" s="21"/>
      <c r="U48"/>
      <c r="V48"/>
      <c r="W48"/>
      <c r="X48"/>
      <c r="Y48"/>
      <c r="Z48" s="12"/>
      <c r="AA48" s="12"/>
      <c r="AB48" s="12"/>
      <c r="AC48" s="12"/>
      <c r="AD48" s="12"/>
      <c r="AE48" s="12"/>
      <c r="AF48" s="12"/>
      <c r="AG48" s="12"/>
      <c r="AH48" s="12"/>
      <c r="AI48" s="12"/>
    </row>
    <row r="49" spans="1:35" s="10" customFormat="1" x14ac:dyDescent="0.25">
      <c r="A49" s="12"/>
      <c r="B49" s="12"/>
      <c r="C49" s="12"/>
      <c r="D49"/>
      <c r="E49" s="2" t="s">
        <v>200</v>
      </c>
      <c r="F49" s="3" t="s">
        <v>182</v>
      </c>
      <c r="G49" s="5" t="s">
        <v>48</v>
      </c>
      <c r="H49" s="18" t="s">
        <v>50</v>
      </c>
      <c r="I49" s="33">
        <v>0</v>
      </c>
      <c r="J49" s="29">
        <v>2</v>
      </c>
      <c r="K49" s="10" t="str">
        <f xml:space="preserve"> IFERROR("0x" &amp; DEC2HEX(VLOOKUP(F49,Common!$C$10:$D$34,2,FALSE),2) &amp; DEC2HEX(I49,3) &amp; DEC2HEX(VLOOKUP(G49,Common!$C$51:$D$55,2,FALSE),1) &amp; DEC2HEX(1+2*VLOOKUP(H49,Common!$C$69:$D$72,2,FALSE),1) &amp; DEC2HEX(IFERROR(LOG(J49,2),0),1),0)</f>
        <v>0x04000151</v>
      </c>
      <c r="L49" s="29" t="str">
        <f>IF(AND(LEN(E49)&lt;&gt;0,S49=""),F49&amp;"_"&amp;UPPER(E49),"")</f>
        <v>CALIB_MODE</v>
      </c>
      <c r="M49" t="s">
        <v>201</v>
      </c>
      <c r="N49" s="29">
        <v>0</v>
      </c>
      <c r="O49" s="29">
        <v>0</v>
      </c>
      <c r="P49" s="29">
        <v>24</v>
      </c>
      <c r="Q49" s="29"/>
      <c r="R49" s="29"/>
      <c r="S49" s="3"/>
      <c r="T49" t="s">
        <v>204</v>
      </c>
      <c r="U49"/>
      <c r="V49"/>
      <c r="W49"/>
      <c r="X49"/>
      <c r="Y49"/>
      <c r="Z49" s="12"/>
      <c r="AA49" s="12"/>
      <c r="AB49" s="12"/>
      <c r="AC49" s="12"/>
      <c r="AD49" s="12"/>
      <c r="AE49" s="12"/>
      <c r="AF49" s="12"/>
      <c r="AG49" s="12"/>
      <c r="AH49" s="12"/>
      <c r="AI49" s="12"/>
    </row>
    <row r="50" spans="1:35" s="10" customFormat="1" x14ac:dyDescent="0.25">
      <c r="A50" s="12"/>
      <c r="B50" s="12"/>
      <c r="C50" s="12"/>
      <c r="D50"/>
      <c r="E50" s="2" t="s">
        <v>194</v>
      </c>
      <c r="F50" s="3" t="s">
        <v>182</v>
      </c>
      <c r="G50" s="5" t="s">
        <v>48</v>
      </c>
      <c r="H50" s="18" t="s">
        <v>50</v>
      </c>
      <c r="I50" s="33">
        <f xml:space="preserve"> I49+J49</f>
        <v>2</v>
      </c>
      <c r="J50" s="29">
        <v>2</v>
      </c>
      <c r="K50" s="10" t="str">
        <f xml:space="preserve"> IFERROR("0x" &amp; DEC2HEX(VLOOKUP(F50,Common!$C$10:$D$34,2,FALSE),2) &amp; DEC2HEX(I50,3) &amp; DEC2HEX(VLOOKUP(G50,Common!$C$51:$D$55,2,FALSE),1) &amp; DEC2HEX(1+2*VLOOKUP(H50,Common!$C$69:$D$72,2,FALSE),1) &amp; DEC2HEX(IFERROR(LOG(J50,2),0),1),0)</f>
        <v>0x04002151</v>
      </c>
      <c r="L50" s="29" t="str">
        <f t="shared" ref="L50" si="2">IF(AND(LEN(E50)&lt;&gt;0,S50=""),F50&amp;"_"&amp;UPPER(E50),"")</f>
        <v>CALIB_RESERVED</v>
      </c>
      <c r="M50" t="s">
        <v>89</v>
      </c>
      <c r="N50" s="29"/>
      <c r="O50" s="29"/>
      <c r="P50" s="29"/>
      <c r="Q50" s="29"/>
      <c r="R50" s="29"/>
      <c r="S50" s="3"/>
      <c r="T50" t="s">
        <v>52</v>
      </c>
      <c r="U50"/>
      <c r="V50"/>
      <c r="W50"/>
      <c r="X50"/>
      <c r="Y50"/>
      <c r="Z50" s="12"/>
      <c r="AA50" s="12"/>
      <c r="AB50" s="12"/>
      <c r="AC50" s="12"/>
      <c r="AD50" s="12"/>
      <c r="AE50" s="12"/>
      <c r="AF50" s="12"/>
      <c r="AG50" s="12"/>
      <c r="AH50" s="12"/>
      <c r="AI50" s="12"/>
    </row>
    <row r="51" spans="1:35" s="10" customFormat="1" x14ac:dyDescent="0.25">
      <c r="A51" s="12"/>
      <c r="B51" s="12"/>
      <c r="C51" s="12"/>
      <c r="D51"/>
      <c r="E51" s="24"/>
      <c r="F51" s="23"/>
      <c r="G51" s="23"/>
      <c r="H51" s="26"/>
      <c r="I51" s="28"/>
      <c r="J51" s="22"/>
      <c r="L51" s="29"/>
      <c r="M51" s="21"/>
      <c r="N51" s="22"/>
      <c r="O51" s="22"/>
      <c r="P51" s="22"/>
      <c r="Q51" s="23"/>
      <c r="R51" s="23"/>
      <c r="S51" s="22"/>
      <c r="T51" s="21"/>
      <c r="U51"/>
      <c r="V51"/>
      <c r="W51"/>
      <c r="X51"/>
      <c r="Y51"/>
      <c r="Z51" s="12"/>
      <c r="AA51" s="12"/>
      <c r="AB51" s="12"/>
      <c r="AC51" s="12"/>
      <c r="AD51" s="12"/>
      <c r="AE51" s="12"/>
      <c r="AF51" s="12"/>
      <c r="AG51" s="12"/>
      <c r="AH51" s="12"/>
      <c r="AI51" s="12"/>
    </row>
    <row r="52" spans="1:35" s="10" customFormat="1" x14ac:dyDescent="0.25">
      <c r="A52" s="12"/>
      <c r="B52" s="12"/>
      <c r="C52" s="12"/>
      <c r="D52"/>
      <c r="E52" s="24"/>
      <c r="F52" s="23"/>
      <c r="G52" s="23"/>
      <c r="H52" s="26"/>
      <c r="I52" s="28"/>
      <c r="J52" s="22"/>
      <c r="L52" s="29"/>
      <c r="M52" s="21"/>
      <c r="N52" s="22"/>
      <c r="O52" s="22"/>
      <c r="P52" s="22"/>
      <c r="Q52" s="23"/>
      <c r="R52" s="23"/>
      <c r="S52" s="22"/>
      <c r="T52" s="21"/>
      <c r="U52"/>
      <c r="V52"/>
      <c r="W52"/>
      <c r="X52"/>
      <c r="Y52"/>
      <c r="Z52" s="12"/>
      <c r="AA52" s="12"/>
      <c r="AB52" s="12"/>
      <c r="AC52" s="12"/>
      <c r="AD52" s="12"/>
      <c r="AE52" s="12"/>
      <c r="AF52" s="12"/>
      <c r="AG52" s="12"/>
      <c r="AH52" s="12"/>
      <c r="AI52" s="12"/>
    </row>
    <row r="53" spans="1:35" s="10" customFormat="1" x14ac:dyDescent="0.25">
      <c r="A53" s="12"/>
      <c r="B53" s="12"/>
      <c r="C53" s="12"/>
      <c r="D53"/>
      <c r="E53" s="24"/>
      <c r="F53" s="23"/>
      <c r="G53" s="23"/>
      <c r="H53" s="26"/>
      <c r="I53" s="28"/>
      <c r="J53" s="22"/>
      <c r="L53" s="29"/>
      <c r="M53" s="21"/>
      <c r="N53" s="22"/>
      <c r="O53" s="22"/>
      <c r="P53" s="22"/>
      <c r="Q53" s="23"/>
      <c r="R53" s="23"/>
      <c r="S53" s="22"/>
      <c r="T53" s="21"/>
      <c r="U53"/>
      <c r="V53"/>
      <c r="W53"/>
      <c r="X53"/>
      <c r="Y53"/>
      <c r="Z53" s="12"/>
      <c r="AA53" s="12"/>
      <c r="AB53" s="12"/>
      <c r="AC53" s="12"/>
      <c r="AD53" s="12"/>
      <c r="AE53" s="12"/>
      <c r="AF53" s="12"/>
      <c r="AG53" s="12"/>
      <c r="AH53" s="12"/>
      <c r="AI53" s="12"/>
    </row>
    <row r="54" spans="1:35" s="10" customFormat="1" x14ac:dyDescent="0.25">
      <c r="A54" s="12"/>
      <c r="B54" s="12"/>
      <c r="C54" s="12"/>
      <c r="D54"/>
      <c r="E54" t="s">
        <v>210</v>
      </c>
      <c r="F54" s="3" t="s">
        <v>228</v>
      </c>
      <c r="G54" s="3" t="s">
        <v>114</v>
      </c>
      <c r="H54" s="3" t="s">
        <v>50</v>
      </c>
      <c r="I54" s="33">
        <f xml:space="preserve"> I53+J53</f>
        <v>0</v>
      </c>
      <c r="J54" s="29">
        <v>1</v>
      </c>
      <c r="K54" s="10" t="str">
        <f xml:space="preserve"> IFERROR("0x" &amp; DEC2HEX(VLOOKUP(F54,Common!$C$10:$D$34,2,FALSE),2) &amp; DEC2HEX(I54,3) &amp; DEC2HEX(VLOOKUP(G54,Common!$C$51:$D$55,2,FALSE),1) &amp; DEC2HEX(1+2*VLOOKUP(H54,Common!$C$69:$D$72,2,FALSE),1) &amp; DEC2HEX(IFERROR(LOG(J54,2),0),1),0)</f>
        <v>0x05000550</v>
      </c>
      <c r="L54" s="29" t="str">
        <f t="shared" ref="L54" si="3">IF(AND(LEN(E54)&lt;&gt;0,S54=""),F54&amp;"_"&amp;UPPER(E54),"")</f>
        <v>MEAS_ENABLE</v>
      </c>
      <c r="M54" t="s">
        <v>211</v>
      </c>
      <c r="N54" s="29">
        <v>1</v>
      </c>
      <c r="O54" s="29">
        <v>0</v>
      </c>
      <c r="P54" s="29">
        <v>1</v>
      </c>
      <c r="Q54" s="29"/>
      <c r="R54" s="3" t="s">
        <v>212</v>
      </c>
      <c r="S54" s="34"/>
      <c r="T54" t="s">
        <v>213</v>
      </c>
      <c r="U54"/>
      <c r="V54"/>
      <c r="W54"/>
      <c r="X54"/>
      <c r="Y54"/>
      <c r="Z54" s="12"/>
      <c r="AA54" s="12"/>
      <c r="AB54" s="12"/>
      <c r="AC54" s="12"/>
      <c r="AD54" s="12"/>
      <c r="AE54" s="12"/>
      <c r="AF54" s="12"/>
      <c r="AG54" s="12"/>
      <c r="AH54" s="12"/>
      <c r="AI54" s="12"/>
    </row>
    <row r="55" spans="1:35" s="10" customFormat="1" x14ac:dyDescent="0.25">
      <c r="A55" s="12"/>
      <c r="B55" s="12"/>
      <c r="C55" s="12"/>
      <c r="D55"/>
      <c r="E55"/>
      <c r="F55" s="3" t="s">
        <v>228</v>
      </c>
      <c r="G55" s="3"/>
      <c r="H55" s="3"/>
      <c r="I55" s="33">
        <f t="shared" ref="I55:I66" si="4" xml:space="preserve"> I54+J54</f>
        <v>1</v>
      </c>
      <c r="J55" s="29"/>
      <c r="K55" s="10">
        <f xml:space="preserve"> IFERROR("0x" &amp; DEC2HEX(VLOOKUP(F55,Common!$C$10:$D$34,2,FALSE),2) &amp; DEC2HEX(I55,3) &amp; DEC2HEX(VLOOKUP(G55,Common!$C$51:$D$55,2,FALSE),1) &amp; DEC2HEX(1+2*VLOOKUP(H55,Common!$C$69:$D$72,2,FALSE),1) &amp; DEC2HEX(IFERROR(LOG(J55,2),0),1),0)</f>
        <v>0</v>
      </c>
      <c r="L55" s="3" t="s">
        <v>214</v>
      </c>
      <c r="M55" t="s">
        <v>215</v>
      </c>
      <c r="N55" s="29"/>
      <c r="O55" s="29"/>
      <c r="P55" s="29"/>
      <c r="Q55" s="29"/>
      <c r="R55" s="3"/>
      <c r="S55" s="34"/>
      <c r="T55" t="s">
        <v>216</v>
      </c>
      <c r="U55"/>
      <c r="V55"/>
      <c r="W55"/>
      <c r="X55"/>
      <c r="Y55"/>
      <c r="Z55" s="12"/>
      <c r="AA55" s="12"/>
      <c r="AB55" s="12"/>
      <c r="AC55" s="12"/>
      <c r="AD55" s="12"/>
      <c r="AE55" s="12"/>
      <c r="AF55" s="12"/>
      <c r="AG55" s="12"/>
      <c r="AH55" s="12"/>
      <c r="AI55" s="12"/>
    </row>
    <row r="56" spans="1:35" s="10" customFormat="1" x14ac:dyDescent="0.25">
      <c r="A56" s="12"/>
      <c r="B56" s="12"/>
      <c r="C56" s="12"/>
      <c r="D56"/>
      <c r="E56"/>
      <c r="F56" s="3" t="s">
        <v>228</v>
      </c>
      <c r="G56" s="3"/>
      <c r="H56" s="3"/>
      <c r="I56" s="33">
        <f t="shared" si="4"/>
        <v>1</v>
      </c>
      <c r="J56" s="29"/>
      <c r="K56" s="10">
        <f xml:space="preserve"> IFERROR("0x" &amp; DEC2HEX(VLOOKUP(F56,Common!$C$10:$D$34,2,FALSE),2) &amp; DEC2HEX(I56,3) &amp; DEC2HEX(VLOOKUP(G56,Common!$C$51:$D$55,2,FALSE),1) &amp; DEC2HEX(1+2*VLOOKUP(H56,Common!$C$69:$D$72,2,FALSE),1) &amp; DEC2HEX(IFERROR(LOG(J56,2),0),1),0)</f>
        <v>0</v>
      </c>
      <c r="L56" s="3" t="s">
        <v>217</v>
      </c>
      <c r="M56" t="s">
        <v>218</v>
      </c>
      <c r="N56" s="29"/>
      <c r="O56" s="29"/>
      <c r="P56" s="29"/>
      <c r="Q56" s="29"/>
      <c r="R56" s="3"/>
      <c r="S56" s="34"/>
      <c r="T56" t="s">
        <v>219</v>
      </c>
      <c r="U56"/>
      <c r="V56"/>
      <c r="W56"/>
      <c r="X56"/>
      <c r="Y56"/>
      <c r="Z56" s="12"/>
      <c r="AA56" s="12"/>
      <c r="AB56" s="12"/>
      <c r="AC56" s="12"/>
      <c r="AD56" s="12"/>
      <c r="AE56" s="12"/>
      <c r="AF56" s="12"/>
      <c r="AG56" s="12"/>
      <c r="AH56" s="12"/>
      <c r="AI56" s="12"/>
    </row>
    <row r="57" spans="1:35" s="10" customFormat="1" x14ac:dyDescent="0.25">
      <c r="A57" s="12"/>
      <c r="B57" s="12"/>
      <c r="C57" s="12"/>
      <c r="D57"/>
      <c r="E57" t="s">
        <v>200</v>
      </c>
      <c r="F57" s="3" t="s">
        <v>228</v>
      </c>
      <c r="G57" s="3" t="s">
        <v>114</v>
      </c>
      <c r="H57" s="3" t="s">
        <v>50</v>
      </c>
      <c r="I57" s="33">
        <f t="shared" si="4"/>
        <v>1</v>
      </c>
      <c r="J57" s="29">
        <v>1</v>
      </c>
      <c r="K57" s="10" t="str">
        <f xml:space="preserve"> IFERROR("0x" &amp; DEC2HEX(VLOOKUP(F57,Common!$C$10:$D$34,2,FALSE),2) &amp; DEC2HEX(I57,3) &amp; DEC2HEX(VLOOKUP(G57,Common!$C$51:$D$55,2,FALSE),1) &amp; DEC2HEX(1+2*VLOOKUP(H57,Common!$C$69:$D$72,2,FALSE),1) &amp; DEC2HEX(IFERROR(LOG(J57,2),0),1),0)</f>
        <v>0x05001550</v>
      </c>
      <c r="L57" s="29" t="str">
        <f t="shared" ref="L57" si="5">IF(AND(LEN(E57)&lt;&gt;0,S57=""),F57&amp;"_"&amp;UPPER(E57),"")</f>
        <v>MEAS_MODE</v>
      </c>
      <c r="M57" t="s">
        <v>233</v>
      </c>
      <c r="N57" s="29">
        <v>0</v>
      </c>
      <c r="O57" s="29"/>
      <c r="P57" s="29"/>
      <c r="Q57" s="29"/>
      <c r="R57" s="29"/>
      <c r="S57" s="34"/>
      <c r="T57" t="s">
        <v>253</v>
      </c>
      <c r="U57"/>
      <c r="V57"/>
      <c r="W57"/>
      <c r="X57"/>
      <c r="Y57"/>
      <c r="Z57" s="12"/>
      <c r="AA57" s="12"/>
      <c r="AB57" s="12"/>
      <c r="AC57" s="12"/>
      <c r="AD57" s="12"/>
      <c r="AE57" s="12"/>
      <c r="AF57" s="12"/>
      <c r="AG57" s="12"/>
      <c r="AH57" s="12"/>
      <c r="AI57" s="12"/>
    </row>
    <row r="58" spans="1:35" s="10" customFormat="1" x14ac:dyDescent="0.25">
      <c r="A58" s="12"/>
      <c r="B58" s="12"/>
      <c r="C58" s="12"/>
      <c r="D58"/>
      <c r="E58"/>
      <c r="F58" s="3" t="s">
        <v>228</v>
      </c>
      <c r="G58" s="3"/>
      <c r="H58" s="3"/>
      <c r="I58" s="33">
        <f t="shared" si="4"/>
        <v>2</v>
      </c>
      <c r="J58" s="29"/>
      <c r="L58" s="3" t="s">
        <v>231</v>
      </c>
      <c r="M58" t="s">
        <v>242</v>
      </c>
      <c r="N58" s="29"/>
      <c r="O58" s="29"/>
      <c r="P58" s="29"/>
      <c r="Q58" s="29"/>
      <c r="R58" s="29"/>
      <c r="S58" s="34"/>
      <c r="T58" t="s">
        <v>254</v>
      </c>
      <c r="U58"/>
      <c r="V58"/>
      <c r="W58"/>
      <c r="X58"/>
      <c r="Y58"/>
      <c r="Z58" s="12"/>
      <c r="AA58" s="12"/>
      <c r="AB58" s="12"/>
      <c r="AC58" s="12"/>
      <c r="AD58" s="12"/>
      <c r="AE58" s="12"/>
      <c r="AF58" s="12"/>
      <c r="AG58" s="12"/>
      <c r="AH58" s="12"/>
      <c r="AI58" s="12"/>
    </row>
    <row r="59" spans="1:35" s="10" customFormat="1" x14ac:dyDescent="0.25">
      <c r="A59" s="12"/>
      <c r="B59" s="12"/>
      <c r="C59" s="12"/>
      <c r="D59"/>
      <c r="E59"/>
      <c r="F59" s="3" t="s">
        <v>228</v>
      </c>
      <c r="G59" s="3"/>
      <c r="H59" s="3"/>
      <c r="I59" s="33">
        <f t="shared" si="4"/>
        <v>2</v>
      </c>
      <c r="J59" s="29"/>
      <c r="L59" s="3" t="s">
        <v>232</v>
      </c>
      <c r="M59" t="s">
        <v>244</v>
      </c>
      <c r="N59" s="29"/>
      <c r="O59" s="29"/>
      <c r="P59" s="29"/>
      <c r="Q59" s="29"/>
      <c r="R59" s="29"/>
      <c r="S59" s="34"/>
      <c r="T59" t="s">
        <v>255</v>
      </c>
      <c r="U59"/>
      <c r="V59"/>
      <c r="W59"/>
      <c r="X59"/>
      <c r="Y59"/>
      <c r="Z59" s="12"/>
      <c r="AA59" s="12"/>
      <c r="AB59" s="12"/>
      <c r="AC59" s="12"/>
      <c r="AD59" s="12"/>
      <c r="AE59" s="12"/>
      <c r="AF59" s="12"/>
      <c r="AG59" s="12"/>
      <c r="AH59" s="12"/>
      <c r="AI59" s="12"/>
    </row>
    <row r="60" spans="1:35" s="10" customFormat="1" x14ac:dyDescent="0.25">
      <c r="A60" s="12"/>
      <c r="B60" s="12"/>
      <c r="C60" s="12"/>
      <c r="D60"/>
      <c r="E60" t="s">
        <v>238</v>
      </c>
      <c r="F60" s="3" t="s">
        <v>228</v>
      </c>
      <c r="G60" s="3" t="s">
        <v>114</v>
      </c>
      <c r="H60" s="3" t="s">
        <v>50</v>
      </c>
      <c r="I60" s="33">
        <f t="shared" ref="I60:I64" si="6" xml:space="preserve"> I59+J59</f>
        <v>2</v>
      </c>
      <c r="J60" s="29">
        <v>1</v>
      </c>
      <c r="K60" s="10" t="str">
        <f xml:space="preserve"> IFERROR("0x" &amp; DEC2HEX(VLOOKUP(F60,Common!$C$10:$D$34,2,FALSE),2) &amp; DEC2HEX(I60,3) &amp; DEC2HEX(VLOOKUP(G60,Common!$C$51:$D$55,2,FALSE),1) &amp; DEC2HEX(1+2*VLOOKUP(H60,Common!$C$69:$D$72,2,FALSE),1) &amp; DEC2HEX(IFERROR(LOG(J60,2),0),1),0)</f>
        <v>0x05002550</v>
      </c>
      <c r="L60" s="29" t="str">
        <f t="shared" ref="L60" si="7">IF(AND(LEN(E60)&lt;&gt;0,S60=""),F60&amp;"_"&amp;UPPER(E60),"")</f>
        <v>MEAS_TRIGGER</v>
      </c>
      <c r="M60" t="s">
        <v>245</v>
      </c>
      <c r="N60" s="29">
        <v>0</v>
      </c>
      <c r="O60" s="29"/>
      <c r="P60" s="29"/>
      <c r="Q60" s="29"/>
      <c r="R60" s="29"/>
      <c r="S60" s="34"/>
      <c r="T60" t="s">
        <v>245</v>
      </c>
      <c r="U60"/>
      <c r="V60"/>
      <c r="W60"/>
      <c r="X60"/>
      <c r="Y60"/>
      <c r="Z60" s="12"/>
      <c r="AA60" s="12"/>
      <c r="AB60" s="12"/>
      <c r="AC60" s="12"/>
      <c r="AD60" s="12"/>
      <c r="AE60" s="12"/>
      <c r="AF60" s="12"/>
      <c r="AG60" s="12"/>
      <c r="AH60" s="12"/>
      <c r="AI60" s="12"/>
    </row>
    <row r="61" spans="1:35" s="10" customFormat="1" x14ac:dyDescent="0.25">
      <c r="A61" s="12"/>
      <c r="B61" s="12"/>
      <c r="C61" s="12"/>
      <c r="D61"/>
      <c r="E61"/>
      <c r="F61" s="3" t="s">
        <v>228</v>
      </c>
      <c r="G61" s="3"/>
      <c r="H61" s="3"/>
      <c r="I61" s="33">
        <f t="shared" si="6"/>
        <v>3</v>
      </c>
      <c r="J61" s="29"/>
      <c r="L61" s="29" t="s">
        <v>239</v>
      </c>
      <c r="M61" t="s">
        <v>246</v>
      </c>
      <c r="N61" s="29"/>
      <c r="O61" s="29"/>
      <c r="P61" s="29"/>
      <c r="Q61" s="29"/>
      <c r="R61" s="29"/>
      <c r="S61" s="34"/>
      <c r="T61" t="s">
        <v>256</v>
      </c>
      <c r="U61"/>
      <c r="V61"/>
      <c r="W61"/>
      <c r="X61"/>
      <c r="Y61"/>
      <c r="Z61" s="12"/>
      <c r="AA61" s="12"/>
      <c r="AB61" s="12"/>
      <c r="AC61" s="12"/>
      <c r="AD61" s="12"/>
      <c r="AE61" s="12"/>
      <c r="AF61" s="12"/>
      <c r="AG61" s="12"/>
      <c r="AH61" s="12"/>
      <c r="AI61" s="12"/>
    </row>
    <row r="62" spans="1:35" s="10" customFormat="1" ht="14.25" customHeight="1" x14ac:dyDescent="0.25">
      <c r="A62" s="12"/>
      <c r="B62" s="12"/>
      <c r="C62" s="12"/>
      <c r="D62"/>
      <c r="E62"/>
      <c r="F62" s="3" t="s">
        <v>228</v>
      </c>
      <c r="G62" s="3"/>
      <c r="H62" s="3"/>
      <c r="I62" s="33">
        <f t="shared" si="6"/>
        <v>3</v>
      </c>
      <c r="J62" s="29"/>
      <c r="L62" s="3" t="s">
        <v>240</v>
      </c>
      <c r="M62" t="s">
        <v>251</v>
      </c>
      <c r="N62" s="29"/>
      <c r="O62" s="29"/>
      <c r="P62" s="29"/>
      <c r="Q62" s="29"/>
      <c r="R62" s="29"/>
      <c r="S62" s="34"/>
      <c r="T62" t="s">
        <v>257</v>
      </c>
      <c r="U62"/>
      <c r="V62"/>
      <c r="W62"/>
      <c r="X62"/>
      <c r="Y62"/>
      <c r="Z62" s="12"/>
      <c r="AA62" s="12"/>
      <c r="AB62" s="12"/>
      <c r="AC62" s="12"/>
      <c r="AD62" s="12"/>
      <c r="AE62" s="12"/>
      <c r="AF62" s="12"/>
      <c r="AG62" s="12"/>
      <c r="AH62" s="12"/>
      <c r="AI62" s="12"/>
    </row>
    <row r="63" spans="1:35" s="10" customFormat="1" x14ac:dyDescent="0.25">
      <c r="A63" s="12"/>
      <c r="B63" s="12"/>
      <c r="C63" s="12"/>
      <c r="D63"/>
      <c r="E63"/>
      <c r="F63" s="3" t="s">
        <v>228</v>
      </c>
      <c r="G63" s="3"/>
      <c r="H63" s="3"/>
      <c r="I63" s="33">
        <f t="shared" si="6"/>
        <v>3</v>
      </c>
      <c r="J63" s="29"/>
      <c r="L63" s="3" t="s">
        <v>241</v>
      </c>
      <c r="M63" t="s">
        <v>252</v>
      </c>
      <c r="N63" s="29"/>
      <c r="O63" s="29"/>
      <c r="P63" s="29"/>
      <c r="Q63" s="29"/>
      <c r="R63" s="29"/>
      <c r="S63" s="34"/>
      <c r="T63" t="s">
        <v>258</v>
      </c>
      <c r="U63"/>
      <c r="V63"/>
      <c r="W63"/>
      <c r="X63"/>
      <c r="Y63"/>
      <c r="Z63" s="12"/>
      <c r="AA63" s="12"/>
      <c r="AB63" s="12"/>
      <c r="AC63" s="12"/>
      <c r="AD63" s="12"/>
      <c r="AE63" s="12"/>
      <c r="AF63" s="12"/>
      <c r="AG63" s="12"/>
      <c r="AH63" s="12"/>
      <c r="AI63" s="12"/>
    </row>
    <row r="64" spans="1:35" s="10" customFormat="1" x14ac:dyDescent="0.25">
      <c r="A64" s="12"/>
      <c r="B64" s="12"/>
      <c r="C64" s="12"/>
      <c r="D64"/>
      <c r="E64" t="s">
        <v>194</v>
      </c>
      <c r="F64" s="3" t="s">
        <v>228</v>
      </c>
      <c r="G64" s="3" t="s">
        <v>48</v>
      </c>
      <c r="H64" s="3" t="s">
        <v>50</v>
      </c>
      <c r="I64" s="33">
        <f t="shared" si="6"/>
        <v>3</v>
      </c>
      <c r="J64" s="29">
        <v>1</v>
      </c>
      <c r="K64" s="10" t="str">
        <f xml:space="preserve"> IFERROR("0x" &amp; DEC2HEX(VLOOKUP(F64,Common!$C$10:$D$34,2,FALSE),2) &amp; DEC2HEX(I64,3) &amp; DEC2HEX(VLOOKUP(G64,Common!$C$51:$D$55,2,FALSE),1) &amp; DEC2HEX(1+2*VLOOKUP(H64,Common!$C$69:$D$72,2,FALSE),1) &amp; DEC2HEX(IFERROR(LOG(J64,2),0),1),0)</f>
        <v>0x05003150</v>
      </c>
      <c r="L64" s="29" t="str">
        <f t="shared" ref="L64:L68" si="8">IF(AND(LEN(E64)&lt;&gt;0,S64=""),F64&amp;"_"&amp;UPPER(E64),"")</f>
        <v>MEAS_RESERVED</v>
      </c>
      <c r="M64" t="s">
        <v>247</v>
      </c>
      <c r="N64" s="29"/>
      <c r="O64" s="29"/>
      <c r="P64" s="29"/>
      <c r="Q64" s="29"/>
      <c r="R64" s="3"/>
      <c r="S64" s="34"/>
      <c r="T64"/>
      <c r="U64"/>
      <c r="V64"/>
      <c r="W64"/>
      <c r="X64"/>
      <c r="Y64"/>
      <c r="Z64" s="12"/>
      <c r="AA64" s="12"/>
      <c r="AB64" s="12"/>
      <c r="AC64" s="12"/>
      <c r="AD64" s="12"/>
      <c r="AE64" s="12"/>
      <c r="AF64" s="12"/>
      <c r="AG64" s="12"/>
      <c r="AH64" s="12"/>
      <c r="AI64" s="12"/>
    </row>
    <row r="65" spans="1:35" s="10" customFormat="1" x14ac:dyDescent="0.25">
      <c r="A65" s="12"/>
      <c r="B65" s="12"/>
      <c r="C65" s="12"/>
      <c r="D65"/>
      <c r="E65" t="s">
        <v>234</v>
      </c>
      <c r="F65" s="3" t="s">
        <v>228</v>
      </c>
      <c r="G65" s="3" t="s">
        <v>49</v>
      </c>
      <c r="H65" s="3" t="s">
        <v>45</v>
      </c>
      <c r="I65" s="33">
        <f t="shared" si="4"/>
        <v>4</v>
      </c>
      <c r="J65" s="29">
        <v>4</v>
      </c>
      <c r="K65" s="10" t="str">
        <f xml:space="preserve"> IFERROR("0x" &amp; DEC2HEX(VLOOKUP(F65,Common!$C$10:$D$34,2,FALSE),2) &amp; DEC2HEX(I65,3) &amp; DEC2HEX(VLOOKUP(G65,Common!$C$51:$D$55,2,FALSE),1) &amp; DEC2HEX(1+2*VLOOKUP(H65,Common!$C$69:$D$72,2,FALSE),1) &amp; DEC2HEX(IFERROR(LOG(J65,2),0),1),0)</f>
        <v>0x05004212</v>
      </c>
      <c r="L65" s="29" t="str">
        <f t="shared" si="8"/>
        <v>MEAS_RAW</v>
      </c>
      <c r="M65" t="s">
        <v>242</v>
      </c>
      <c r="N65" s="29"/>
      <c r="O65" s="29">
        <v>-10</v>
      </c>
      <c r="P65" s="3">
        <v>10</v>
      </c>
      <c r="Q65" s="29" t="s">
        <v>250</v>
      </c>
      <c r="R65" s="29"/>
      <c r="S65" s="29"/>
      <c r="T65" t="s">
        <v>259</v>
      </c>
      <c r="U65"/>
      <c r="V65"/>
      <c r="W65"/>
      <c r="X65"/>
      <c r="Y65"/>
      <c r="Z65" s="12"/>
      <c r="AA65" s="12"/>
      <c r="AB65" s="12"/>
      <c r="AC65" s="12"/>
      <c r="AD65" s="12"/>
      <c r="AE65" s="12"/>
      <c r="AF65" s="12"/>
      <c r="AG65" s="12"/>
      <c r="AH65" s="12"/>
      <c r="AI65" s="12"/>
    </row>
    <row r="66" spans="1:35" s="10" customFormat="1" x14ac:dyDescent="0.25">
      <c r="A66" s="12"/>
      <c r="B66" s="12"/>
      <c r="C66" s="12"/>
      <c r="D66"/>
      <c r="E66" t="s">
        <v>235</v>
      </c>
      <c r="F66" s="3" t="s">
        <v>228</v>
      </c>
      <c r="G66" s="3" t="s">
        <v>49</v>
      </c>
      <c r="H66" s="3" t="s">
        <v>45</v>
      </c>
      <c r="I66" s="33">
        <f t="shared" si="4"/>
        <v>8</v>
      </c>
      <c r="J66" s="29">
        <v>4</v>
      </c>
      <c r="K66" s="10" t="str">
        <f xml:space="preserve"> IFERROR("0x" &amp; DEC2HEX(VLOOKUP(F66,Common!$C$10:$D$34,2,FALSE),2) &amp; DEC2HEX(I66,3) &amp; DEC2HEX(VLOOKUP(G66,Common!$C$51:$D$55,2,FALSE),1) &amp; DEC2HEX(1+2*VLOOKUP(H66,Common!$C$69:$D$72,2,FALSE),1) &amp; DEC2HEX(IFERROR(LOG(J66,2),0),1),0)</f>
        <v>0x05008212</v>
      </c>
      <c r="L66" s="29" t="str">
        <f t="shared" si="8"/>
        <v>MEAS_AVERAGE</v>
      </c>
      <c r="M66" t="s">
        <v>243</v>
      </c>
      <c r="N66" s="29"/>
      <c r="O66" s="29">
        <v>-10</v>
      </c>
      <c r="P66" s="3">
        <v>10</v>
      </c>
      <c r="Q66" s="29" t="s">
        <v>250</v>
      </c>
      <c r="R66" s="29"/>
      <c r="S66" s="29"/>
      <c r="T66" t="s">
        <v>260</v>
      </c>
      <c r="U66"/>
      <c r="V66"/>
      <c r="W66"/>
      <c r="X66"/>
      <c r="Y66"/>
      <c r="Z66" s="12"/>
      <c r="AA66" s="12"/>
      <c r="AB66" s="12"/>
      <c r="AC66" s="12"/>
      <c r="AD66" s="12"/>
      <c r="AE66" s="12"/>
      <c r="AF66" s="12"/>
      <c r="AG66" s="12"/>
      <c r="AH66" s="12"/>
      <c r="AI66" s="12"/>
    </row>
    <row r="67" spans="1:35" s="10" customFormat="1" x14ac:dyDescent="0.25">
      <c r="A67" s="12"/>
      <c r="B67" s="12"/>
      <c r="C67" s="12"/>
      <c r="D67"/>
      <c r="E67" t="s">
        <v>236</v>
      </c>
      <c r="F67" s="3" t="s">
        <v>228</v>
      </c>
      <c r="G67" s="3" t="s">
        <v>49</v>
      </c>
      <c r="H67" s="3" t="s">
        <v>50</v>
      </c>
      <c r="I67" s="33">
        <f t="shared" ref="I67:I68" si="9" xml:space="preserve"> I66+J66</f>
        <v>12</v>
      </c>
      <c r="J67" s="29">
        <v>4</v>
      </c>
      <c r="K67" s="10" t="str">
        <f xml:space="preserve"> IFERROR("0x" &amp; DEC2HEX(VLOOKUP(F67,Common!$C$10:$D$34,2,FALSE),2) &amp; DEC2HEX(I67,3) &amp; DEC2HEX(VLOOKUP(G67,Common!$C$51:$D$55,2,FALSE),1) &amp; DEC2HEX(1+2*VLOOKUP(H67,Common!$C$69:$D$72,2,FALSE),1) &amp; DEC2HEX(IFERROR(LOG(J67,2),0),1),0)</f>
        <v>0x0500C252</v>
      </c>
      <c r="L67" s="29" t="str">
        <f t="shared" si="8"/>
        <v>MEAS_THRESHLOD</v>
      </c>
      <c r="M67" t="s">
        <v>248</v>
      </c>
      <c r="N67" s="29">
        <v>0</v>
      </c>
      <c r="O67" s="29">
        <v>-10</v>
      </c>
      <c r="P67" s="3">
        <v>10</v>
      </c>
      <c r="Q67" s="29" t="s">
        <v>250</v>
      </c>
      <c r="R67" s="29"/>
      <c r="S67" s="29"/>
      <c r="T67" t="s">
        <v>261</v>
      </c>
      <c r="U67"/>
      <c r="V67"/>
      <c r="W67"/>
      <c r="X67"/>
      <c r="Y67"/>
      <c r="Z67" s="12"/>
      <c r="AA67" s="12"/>
      <c r="AB67" s="12"/>
      <c r="AC67" s="12"/>
      <c r="AD67" s="12"/>
      <c r="AE67" s="12"/>
      <c r="AF67" s="12"/>
      <c r="AG67" s="12"/>
      <c r="AH67" s="12"/>
      <c r="AI67" s="12"/>
    </row>
    <row r="68" spans="1:35" s="10" customFormat="1" x14ac:dyDescent="0.25">
      <c r="A68" s="12"/>
      <c r="B68" s="12"/>
      <c r="C68" s="12"/>
      <c r="D68"/>
      <c r="E68" t="s">
        <v>237</v>
      </c>
      <c r="F68" s="3" t="s">
        <v>228</v>
      </c>
      <c r="G68" s="3" t="s">
        <v>49</v>
      </c>
      <c r="H68" s="3" t="s">
        <v>50</v>
      </c>
      <c r="I68" s="33">
        <f t="shared" si="9"/>
        <v>16</v>
      </c>
      <c r="J68" s="29">
        <v>4</v>
      </c>
      <c r="K68" s="10" t="str">
        <f xml:space="preserve"> IFERROR("0x" &amp; DEC2HEX(VLOOKUP(F68,Common!$C$10:$D$34,2,FALSE),2) &amp; DEC2HEX(I68,3) &amp; DEC2HEX(VLOOKUP(G68,Common!$C$51:$D$55,2,FALSE),1) &amp; DEC2HEX(1+2*VLOOKUP(H68,Common!$C$69:$D$72,2,FALSE),1) &amp; DEC2HEX(IFERROR(LOG(J68,2),0),1),0)</f>
        <v>0x05010252</v>
      </c>
      <c r="L68" s="29" t="str">
        <f t="shared" si="8"/>
        <v>MEAS_HYSTERESIS</v>
      </c>
      <c r="M68" t="s">
        <v>249</v>
      </c>
      <c r="N68" s="29">
        <v>0</v>
      </c>
      <c r="O68" s="29">
        <v>0</v>
      </c>
      <c r="P68" s="3">
        <v>10</v>
      </c>
      <c r="Q68" s="29" t="s">
        <v>250</v>
      </c>
      <c r="R68" s="29"/>
      <c r="S68" s="29"/>
      <c r="T68" t="s">
        <v>262</v>
      </c>
      <c r="U68"/>
      <c r="V68"/>
      <c r="W68"/>
      <c r="X68"/>
      <c r="Y68"/>
      <c r="Z68" s="12"/>
      <c r="AA68" s="12"/>
      <c r="AB68" s="12"/>
      <c r="AC68" s="12"/>
      <c r="AD68" s="12"/>
      <c r="AE68" s="12"/>
      <c r="AF68" s="12"/>
      <c r="AG68" s="12"/>
      <c r="AH68" s="12"/>
      <c r="AI68" s="12"/>
    </row>
    <row r="69" spans="1:35" s="10" customFormat="1" x14ac:dyDescent="0.25">
      <c r="A69" s="12"/>
      <c r="B69" s="12"/>
      <c r="C69" s="12"/>
      <c r="D69"/>
      <c r="E69"/>
      <c r="F69" s="3"/>
      <c r="G69" s="3"/>
      <c r="H69" s="3"/>
      <c r="I69" s="33"/>
      <c r="J69" s="29"/>
      <c r="L69" s="3"/>
      <c r="M69"/>
      <c r="N69" s="29"/>
      <c r="O69" s="29"/>
      <c r="P69" s="3"/>
      <c r="Q69" s="29"/>
      <c r="R69" s="29"/>
      <c r="S69" s="29"/>
      <c r="T69"/>
      <c r="U69"/>
      <c r="V69"/>
      <c r="W69"/>
      <c r="X69"/>
      <c r="Y69"/>
      <c r="Z69" s="12"/>
      <c r="AA69" s="12"/>
      <c r="AB69" s="12"/>
      <c r="AC69" s="12"/>
      <c r="AD69" s="12"/>
      <c r="AE69" s="12"/>
      <c r="AF69" s="12"/>
      <c r="AG69" s="12"/>
      <c r="AH69" s="12"/>
      <c r="AI69" s="12"/>
    </row>
    <row r="70" spans="1:35" s="10" customFormat="1" x14ac:dyDescent="0.25">
      <c r="A70" s="12"/>
      <c r="B70" s="12"/>
      <c r="C70" s="12"/>
      <c r="D70"/>
      <c r="E70"/>
      <c r="F70" s="3"/>
      <c r="G70" s="3"/>
      <c r="H70" s="3"/>
      <c r="I70" s="33"/>
      <c r="J70" s="29"/>
      <c r="L70" s="3"/>
      <c r="M70"/>
      <c r="N70" s="29"/>
      <c r="O70" s="29"/>
      <c r="P70" s="3"/>
      <c r="Q70" s="29"/>
      <c r="R70" s="29"/>
      <c r="S70" s="29"/>
      <c r="T70"/>
      <c r="U70"/>
      <c r="V70"/>
      <c r="W70"/>
      <c r="X70"/>
      <c r="Y70"/>
      <c r="Z70" s="12"/>
      <c r="AA70" s="12"/>
      <c r="AB70" s="12"/>
      <c r="AC70" s="12"/>
      <c r="AD70" s="12"/>
      <c r="AE70" s="12"/>
      <c r="AF70" s="12"/>
      <c r="AG70" s="12"/>
      <c r="AH70" s="12"/>
      <c r="AI70" s="12"/>
    </row>
    <row r="71" spans="1:35" s="10" customFormat="1" x14ac:dyDescent="0.25">
      <c r="A71" s="12"/>
      <c r="B71" s="12"/>
      <c r="C71" s="12"/>
      <c r="D71"/>
      <c r="E71"/>
      <c r="F71" s="3"/>
      <c r="G71" s="3"/>
      <c r="H71" s="3"/>
      <c r="I71" s="33"/>
      <c r="J71" s="29"/>
      <c r="L71" s="3"/>
      <c r="M71"/>
      <c r="N71" s="29"/>
      <c r="O71" s="29"/>
      <c r="P71" s="3"/>
      <c r="Q71" s="29"/>
      <c r="R71" s="29"/>
      <c r="S71" s="29"/>
      <c r="T71"/>
      <c r="U71"/>
      <c r="V71"/>
      <c r="W71"/>
      <c r="X71"/>
      <c r="Y71"/>
      <c r="Z71" s="12"/>
      <c r="AA71" s="12"/>
      <c r="AB71" s="12"/>
      <c r="AC71" s="12"/>
      <c r="AD71" s="12"/>
      <c r="AE71" s="12"/>
      <c r="AF71" s="12"/>
      <c r="AG71" s="12"/>
      <c r="AH71" s="12"/>
      <c r="AI71" s="12"/>
    </row>
    <row r="72" spans="1:35" s="10" customFormat="1" x14ac:dyDescent="0.25">
      <c r="A72" s="12"/>
      <c r="B72" s="12"/>
      <c r="C72" s="12"/>
      <c r="D72"/>
      <c r="E72"/>
      <c r="F72" s="3"/>
      <c r="G72" s="3"/>
      <c r="H72" s="3"/>
      <c r="I72" s="33"/>
      <c r="J72" s="29"/>
      <c r="L72" s="29"/>
      <c r="M72"/>
      <c r="N72" s="29"/>
      <c r="O72" s="29"/>
      <c r="P72" s="29"/>
      <c r="Q72" s="3"/>
      <c r="R72" s="29"/>
      <c r="S72" s="29"/>
      <c r="T72"/>
      <c r="U72"/>
      <c r="V72"/>
      <c r="W72"/>
      <c r="X72"/>
      <c r="Y72"/>
      <c r="Z72" s="12"/>
      <c r="AA72" s="12"/>
      <c r="AB72" s="12"/>
      <c r="AC72" s="12"/>
      <c r="AD72" s="12"/>
      <c r="AE72" s="12"/>
      <c r="AF72" s="12"/>
      <c r="AG72" s="12"/>
      <c r="AH72" s="12"/>
      <c r="AI72" s="12"/>
    </row>
    <row r="73" spans="1:35" s="10" customFormat="1" x14ac:dyDescent="0.25">
      <c r="A73" s="12"/>
      <c r="B73" s="12"/>
      <c r="C73" s="12"/>
      <c r="D73"/>
      <c r="E73" s="24"/>
      <c r="F73" s="23"/>
      <c r="G73" s="23"/>
      <c r="H73" s="26"/>
      <c r="I73" s="28"/>
      <c r="J73" s="28"/>
      <c r="L73" s="29"/>
      <c r="M73" s="21"/>
      <c r="N73" s="22"/>
      <c r="O73" s="22"/>
      <c r="P73" s="22"/>
      <c r="Q73" s="23"/>
      <c r="R73" s="23"/>
      <c r="S73" s="22"/>
      <c r="T73" s="21"/>
      <c r="U73"/>
      <c r="V73"/>
      <c r="W73"/>
      <c r="X73"/>
      <c r="Y73"/>
      <c r="Z73" s="12"/>
      <c r="AA73" s="12"/>
      <c r="AB73" s="12"/>
      <c r="AC73" s="12"/>
      <c r="AD73" s="12"/>
      <c r="AE73" s="12"/>
      <c r="AF73" s="12"/>
      <c r="AG73" s="12"/>
      <c r="AH73" s="12"/>
      <c r="AI73" s="12"/>
    </row>
    <row r="74" spans="1:35" s="10" customFormat="1" x14ac:dyDescent="0.25">
      <c r="A74" s="12"/>
      <c r="B74" s="12"/>
      <c r="C74" s="12"/>
      <c r="D74"/>
      <c r="E74" s="24"/>
      <c r="F74" s="23"/>
      <c r="G74" s="23"/>
      <c r="H74" s="26"/>
      <c r="I74" s="28"/>
      <c r="J74" s="28"/>
      <c r="L74" s="29"/>
      <c r="M74" s="21"/>
      <c r="N74" s="22"/>
      <c r="O74" s="22"/>
      <c r="P74" s="22"/>
      <c r="Q74" s="23"/>
      <c r="R74" s="23"/>
      <c r="S74" s="22"/>
      <c r="T74" s="21"/>
      <c r="U74"/>
      <c r="V74"/>
      <c r="W74"/>
      <c r="X74"/>
      <c r="Y74"/>
      <c r="Z74" s="12"/>
      <c r="AA74" s="12"/>
      <c r="AB74" s="12"/>
      <c r="AC74" s="12"/>
      <c r="AD74" s="12"/>
      <c r="AE74" s="12"/>
      <c r="AF74" s="12"/>
      <c r="AG74" s="12"/>
      <c r="AH74" s="12"/>
      <c r="AI74" s="12"/>
    </row>
    <row r="75" spans="1:35" s="10" customFormat="1" x14ac:dyDescent="0.25">
      <c r="A75" s="12"/>
      <c r="B75" s="12"/>
      <c r="C75" s="12"/>
      <c r="D75"/>
      <c r="E75" s="24"/>
      <c r="F75" s="23"/>
      <c r="G75" s="23"/>
      <c r="H75" s="26"/>
      <c r="I75" s="28"/>
      <c r="J75" s="28"/>
      <c r="L75" s="29"/>
      <c r="M75" s="21"/>
      <c r="N75" s="22"/>
      <c r="O75" s="22"/>
      <c r="P75" s="22"/>
      <c r="Q75" s="23"/>
      <c r="R75" s="23"/>
      <c r="S75" s="22"/>
      <c r="T75" s="21"/>
      <c r="U75"/>
      <c r="V75"/>
      <c r="W75"/>
      <c r="X75"/>
      <c r="Y75"/>
      <c r="Z75" s="12"/>
      <c r="AA75" s="12"/>
      <c r="AB75" s="12"/>
      <c r="AC75" s="12"/>
      <c r="AD75" s="12"/>
      <c r="AE75" s="12"/>
      <c r="AF75" s="12"/>
      <c r="AG75" s="12"/>
      <c r="AH75" s="12"/>
      <c r="AI75" s="12"/>
    </row>
    <row r="76" spans="1:35" s="10" customFormat="1" x14ac:dyDescent="0.25">
      <c r="A76" s="12"/>
      <c r="B76" s="12"/>
      <c r="C76" s="12"/>
      <c r="D76"/>
      <c r="E76" s="24"/>
      <c r="F76" s="23"/>
      <c r="G76" s="23"/>
      <c r="H76" s="26"/>
      <c r="I76" s="22"/>
      <c r="J76" s="22"/>
      <c r="K76" s="22"/>
      <c r="L76" s="22"/>
      <c r="M76" s="21"/>
      <c r="N76" s="22"/>
      <c r="O76" s="22"/>
      <c r="P76" s="22"/>
      <c r="Q76" s="23"/>
      <c r="R76" s="23"/>
      <c r="S76" s="22"/>
      <c r="T76" s="21"/>
      <c r="U76"/>
      <c r="V76"/>
      <c r="W76"/>
      <c r="X76"/>
      <c r="Y76"/>
      <c r="Z76" s="12"/>
      <c r="AA76" s="12"/>
      <c r="AB76" s="12"/>
      <c r="AC76" s="12"/>
      <c r="AD76" s="12"/>
      <c r="AE76" s="12"/>
      <c r="AF76" s="12"/>
      <c r="AG76" s="12"/>
      <c r="AH76" s="12"/>
      <c r="AI76" s="12"/>
    </row>
    <row r="77" spans="1:35" s="10" customFormat="1" x14ac:dyDescent="0.25">
      <c r="A77" s="12"/>
      <c r="B77" s="12"/>
      <c r="C77" s="12"/>
      <c r="D77"/>
      <c r="E77" s="24"/>
      <c r="F77" s="23"/>
      <c r="G77" s="23"/>
      <c r="H77" s="26"/>
      <c r="I77" s="22"/>
      <c r="J77" s="22"/>
      <c r="K77" s="22"/>
      <c r="L77" s="22"/>
      <c r="M77" s="21"/>
      <c r="N77" s="22"/>
      <c r="O77" s="22"/>
      <c r="P77" s="22"/>
      <c r="Q77" s="23"/>
      <c r="R77" s="23"/>
      <c r="S77" s="22"/>
      <c r="T77" s="21"/>
      <c r="U77"/>
      <c r="V77"/>
      <c r="W77"/>
      <c r="X77"/>
      <c r="Y77"/>
      <c r="Z77" s="12"/>
      <c r="AA77" s="12"/>
      <c r="AB77" s="12"/>
      <c r="AC77" s="12"/>
      <c r="AD77" s="12"/>
      <c r="AE77" s="12"/>
      <c r="AF77" s="12"/>
      <c r="AG77" s="12"/>
      <c r="AH77" s="12"/>
      <c r="AI77" s="12"/>
    </row>
    <row r="78" spans="1:35" s="10" customFormat="1" x14ac:dyDescent="0.25">
      <c r="A78" s="12"/>
      <c r="B78" s="12"/>
      <c r="C78" s="12"/>
      <c r="D78"/>
      <c r="E78" s="24"/>
      <c r="F78" s="23"/>
      <c r="G78" s="23"/>
      <c r="H78" s="26"/>
      <c r="I78" s="22"/>
      <c r="J78" s="22"/>
      <c r="K78" s="22"/>
      <c r="L78" s="22"/>
      <c r="M78" s="21"/>
      <c r="N78" s="22"/>
      <c r="O78" s="22"/>
      <c r="P78" s="22"/>
      <c r="Q78" s="23"/>
      <c r="R78" s="23"/>
      <c r="S78" s="22"/>
      <c r="T78" s="21"/>
      <c r="U78"/>
      <c r="V78"/>
      <c r="W78"/>
      <c r="X78"/>
      <c r="Y78"/>
      <c r="Z78" s="12"/>
      <c r="AA78" s="12"/>
      <c r="AB78" s="12"/>
      <c r="AC78" s="12"/>
      <c r="AD78" s="12"/>
      <c r="AE78" s="12"/>
      <c r="AF78" s="12"/>
      <c r="AG78" s="12"/>
      <c r="AH78" s="12"/>
      <c r="AI78" s="12"/>
    </row>
    <row r="79" spans="1:35" s="10" customFormat="1" x14ac:dyDescent="0.25">
      <c r="A79" s="12"/>
      <c r="B79" s="12"/>
      <c r="C79" s="12"/>
      <c r="D79"/>
      <c r="E79" s="24"/>
      <c r="F79" s="23"/>
      <c r="G79" s="22"/>
      <c r="H79" s="25"/>
      <c r="I79" s="22"/>
      <c r="J79" s="22"/>
      <c r="K79" s="22"/>
      <c r="L79" s="22"/>
      <c r="M79" s="24"/>
      <c r="N79" s="22"/>
      <c r="O79" s="22"/>
      <c r="P79" s="22"/>
      <c r="Q79" s="22"/>
      <c r="R79" s="22"/>
      <c r="S79" s="22"/>
      <c r="T79" s="19"/>
      <c r="U79"/>
      <c r="V79"/>
      <c r="W79"/>
      <c r="X79"/>
      <c r="Y79"/>
      <c r="Z79" s="12"/>
      <c r="AA79" s="12"/>
      <c r="AB79" s="12"/>
      <c r="AC79" s="12"/>
      <c r="AD79" s="12"/>
      <c r="AE79" s="12"/>
      <c r="AF79" s="12"/>
      <c r="AG79" s="12"/>
      <c r="AH79" s="12"/>
      <c r="AI79" s="12"/>
    </row>
    <row r="80" spans="1:35" s="10" customFormat="1" x14ac:dyDescent="0.25">
      <c r="A80" s="12"/>
      <c r="B80" s="12"/>
      <c r="C80" s="12"/>
      <c r="D80"/>
      <c r="E80" s="24"/>
      <c r="F80" s="23"/>
      <c r="G80" s="22"/>
      <c r="H80" s="22"/>
      <c r="I80" s="22"/>
      <c r="J80" s="22"/>
      <c r="K80" s="22"/>
      <c r="L80" s="22"/>
      <c r="M80" s="21"/>
      <c r="N80" s="22"/>
      <c r="O80" s="22"/>
      <c r="P80" s="22"/>
      <c r="Q80" s="22"/>
      <c r="R80" s="22"/>
      <c r="S80" s="22"/>
      <c r="T80" s="19"/>
      <c r="U80"/>
      <c r="V80"/>
      <c r="W80"/>
      <c r="X80"/>
      <c r="Y80"/>
      <c r="Z80" s="12"/>
      <c r="AA80" s="12"/>
      <c r="AB80" s="12"/>
      <c r="AC80" s="12"/>
      <c r="AD80" s="12"/>
      <c r="AE80" s="12"/>
      <c r="AF80" s="12"/>
      <c r="AG80" s="12"/>
      <c r="AH80" s="12"/>
      <c r="AI80" s="12"/>
    </row>
    <row r="81" spans="1:35" s="10" customFormat="1" x14ac:dyDescent="0.25">
      <c r="A81" s="12"/>
      <c r="B81" s="12"/>
      <c r="C81" s="12"/>
      <c r="D81"/>
      <c r="E81" s="24"/>
      <c r="F81" s="23"/>
      <c r="G81" s="23"/>
      <c r="H81" s="26"/>
      <c r="I81" s="22"/>
      <c r="J81" s="22"/>
      <c r="K81" s="22"/>
      <c r="L81" s="22"/>
      <c r="M81" s="24"/>
      <c r="N81" s="22"/>
      <c r="O81" s="22"/>
      <c r="P81" s="22"/>
      <c r="Q81" s="22"/>
      <c r="R81" s="28"/>
      <c r="S81" s="22"/>
      <c r="T81" s="24"/>
      <c r="U81"/>
      <c r="V81"/>
      <c r="W81"/>
      <c r="X81"/>
      <c r="Y81"/>
      <c r="Z81" s="12"/>
      <c r="AA81" s="12"/>
      <c r="AB81" s="12"/>
      <c r="AC81" s="12"/>
      <c r="AD81" s="12"/>
      <c r="AE81" s="12"/>
      <c r="AF81" s="12"/>
      <c r="AG81" s="12"/>
      <c r="AH81" s="12"/>
      <c r="AI81" s="12"/>
    </row>
    <row r="82" spans="1:35" s="10" customFormat="1" x14ac:dyDescent="0.25">
      <c r="A82" s="12"/>
      <c r="B82" s="12"/>
      <c r="C82" s="12"/>
      <c r="D82"/>
      <c r="E82" s="19"/>
      <c r="F82" s="23"/>
      <c r="G82" s="22"/>
      <c r="H82" s="22"/>
      <c r="I82" s="22"/>
      <c r="J82" s="22"/>
      <c r="K82" s="22"/>
      <c r="L82" s="23"/>
      <c r="M82" s="24"/>
      <c r="N82" s="22"/>
      <c r="O82" s="22"/>
      <c r="P82" s="22"/>
      <c r="Q82" s="22"/>
      <c r="R82" s="28"/>
      <c r="S82" s="22"/>
      <c r="T82" s="24"/>
      <c r="U82"/>
      <c r="V82"/>
      <c r="W82"/>
      <c r="X82"/>
      <c r="Y82"/>
      <c r="Z82" s="12"/>
      <c r="AA82" s="12"/>
      <c r="AB82" s="12"/>
      <c r="AC82" s="12"/>
      <c r="AD82" s="12"/>
      <c r="AE82" s="12"/>
      <c r="AF82" s="12"/>
      <c r="AG82" s="12"/>
      <c r="AH82" s="12"/>
      <c r="AI82" s="12"/>
    </row>
    <row r="83" spans="1:35" s="10" customFormat="1" x14ac:dyDescent="0.25">
      <c r="A83" s="12"/>
      <c r="B83" s="12"/>
      <c r="C83" s="12"/>
      <c r="D83"/>
      <c r="E83" s="19"/>
      <c r="F83" s="23"/>
      <c r="G83" s="22"/>
      <c r="H83" s="25"/>
      <c r="I83" s="22"/>
      <c r="J83" s="22"/>
      <c r="K83" s="22"/>
      <c r="L83" s="23"/>
      <c r="M83" s="24"/>
      <c r="N83" s="22"/>
      <c r="O83" s="22"/>
      <c r="P83" s="22"/>
      <c r="Q83" s="22"/>
      <c r="R83" s="28"/>
      <c r="S83" s="22"/>
      <c r="T83" s="24"/>
      <c r="U83"/>
      <c r="V83"/>
      <c r="W83"/>
      <c r="X83"/>
      <c r="Y83"/>
      <c r="Z83" s="12"/>
      <c r="AA83" s="12"/>
      <c r="AB83" s="12"/>
      <c r="AC83" s="12"/>
      <c r="AD83" s="12"/>
      <c r="AE83" s="12"/>
      <c r="AF83" s="12"/>
      <c r="AG83" s="12"/>
      <c r="AH83" s="12"/>
      <c r="AI83" s="12"/>
    </row>
    <row r="84" spans="1:35" s="10" customFormat="1" x14ac:dyDescent="0.25">
      <c r="A84" s="12"/>
      <c r="B84" s="12"/>
      <c r="C84" s="12"/>
      <c r="D84"/>
      <c r="E84" s="19"/>
      <c r="F84" s="23"/>
      <c r="G84" s="22"/>
      <c r="H84" s="22"/>
      <c r="I84" s="22"/>
      <c r="J84" s="22"/>
      <c r="K84" s="22"/>
      <c r="L84" s="23"/>
      <c r="M84" s="24"/>
      <c r="N84" s="22"/>
      <c r="O84" s="22"/>
      <c r="P84" s="22"/>
      <c r="Q84" s="22"/>
      <c r="R84" s="28"/>
      <c r="S84" s="22"/>
      <c r="T84" s="24"/>
      <c r="U84"/>
      <c r="V84"/>
      <c r="W84"/>
      <c r="X84"/>
      <c r="Y84"/>
      <c r="Z84" s="12"/>
      <c r="AA84" s="12"/>
      <c r="AB84" s="12"/>
      <c r="AC84" s="12"/>
      <c r="AD84" s="12"/>
      <c r="AE84" s="12"/>
      <c r="AF84" s="12"/>
      <c r="AG84" s="12"/>
      <c r="AH84" s="12"/>
      <c r="AI84" s="12"/>
    </row>
    <row r="85" spans="1:35" s="10" customFormat="1" x14ac:dyDescent="0.25">
      <c r="A85" s="12"/>
      <c r="B85" s="12"/>
      <c r="C85" s="12"/>
      <c r="D85"/>
      <c r="E85" s="19"/>
      <c r="F85" s="23"/>
      <c r="G85" s="22"/>
      <c r="H85" s="22"/>
      <c r="I85" s="22"/>
      <c r="J85" s="22"/>
      <c r="K85" s="22"/>
      <c r="L85" s="23"/>
      <c r="M85" s="24"/>
      <c r="N85" s="22"/>
      <c r="O85" s="22"/>
      <c r="P85" s="22"/>
      <c r="Q85" s="22"/>
      <c r="R85" s="28"/>
      <c r="S85" s="22"/>
      <c r="T85" s="24"/>
      <c r="U85"/>
      <c r="V85"/>
      <c r="W85"/>
      <c r="X85"/>
      <c r="Y85"/>
      <c r="Z85" s="12"/>
      <c r="AA85" s="12"/>
      <c r="AB85" s="12"/>
      <c r="AC85" s="12"/>
      <c r="AD85" s="12"/>
      <c r="AE85" s="12"/>
      <c r="AF85" s="12"/>
      <c r="AG85" s="12"/>
      <c r="AH85" s="12"/>
      <c r="AI85" s="12"/>
    </row>
    <row r="86" spans="1:35" s="10" customFormat="1" x14ac:dyDescent="0.25">
      <c r="A86" s="12"/>
      <c r="B86" s="12"/>
      <c r="C86" s="12"/>
      <c r="D86"/>
      <c r="E86" s="24"/>
      <c r="F86" s="23"/>
      <c r="G86" s="23"/>
      <c r="H86" s="23"/>
      <c r="I86" s="22"/>
      <c r="J86" s="22"/>
      <c r="K86" s="22"/>
      <c r="L86" s="22"/>
      <c r="M86" s="24"/>
      <c r="N86" s="22"/>
      <c r="O86" s="22"/>
      <c r="P86" s="22"/>
      <c r="Q86" s="22"/>
      <c r="R86" s="28"/>
      <c r="S86" s="22"/>
      <c r="T86" s="24"/>
      <c r="U86"/>
      <c r="V86"/>
      <c r="W86"/>
      <c r="X86"/>
      <c r="Y86"/>
      <c r="Z86" s="12"/>
      <c r="AA86" s="12"/>
      <c r="AB86" s="12"/>
      <c r="AC86" s="12"/>
      <c r="AD86" s="12"/>
      <c r="AE86" s="12"/>
      <c r="AF86" s="12"/>
      <c r="AG86" s="12"/>
      <c r="AH86" s="12"/>
      <c r="AI86" s="12"/>
    </row>
    <row r="87" spans="1:35" s="10" customFormat="1" x14ac:dyDescent="0.25">
      <c r="A87" s="12"/>
      <c r="B87" s="12"/>
      <c r="C87" s="12"/>
      <c r="D87"/>
      <c r="E87" s="19"/>
      <c r="F87" s="23"/>
      <c r="G87" s="22"/>
      <c r="H87" s="22"/>
      <c r="I87" s="22"/>
      <c r="J87" s="22"/>
      <c r="K87" s="22"/>
      <c r="L87" s="23"/>
      <c r="M87" s="24"/>
      <c r="N87" s="22"/>
      <c r="O87" s="22"/>
      <c r="P87" s="22"/>
      <c r="Q87" s="22"/>
      <c r="R87" s="28"/>
      <c r="S87" s="22"/>
      <c r="T87" s="24"/>
      <c r="U87"/>
      <c r="V87"/>
      <c r="W87"/>
      <c r="X87"/>
      <c r="Y87"/>
      <c r="Z87" s="12"/>
      <c r="AA87" s="12"/>
      <c r="AB87" s="12"/>
      <c r="AC87" s="12"/>
      <c r="AD87" s="12"/>
      <c r="AE87" s="12"/>
      <c r="AF87" s="12"/>
      <c r="AG87" s="12"/>
      <c r="AH87" s="12"/>
      <c r="AI87" s="12"/>
    </row>
    <row r="88" spans="1:35" s="10" customFormat="1" x14ac:dyDescent="0.25">
      <c r="A88" s="12"/>
      <c r="B88" s="12"/>
      <c r="C88" s="12"/>
      <c r="D88"/>
      <c r="E88" s="19"/>
      <c r="F88" s="23"/>
      <c r="G88" s="22"/>
      <c r="H88" s="22"/>
      <c r="I88" s="22"/>
      <c r="J88" s="22"/>
      <c r="K88" s="22"/>
      <c r="L88" s="23"/>
      <c r="M88" s="21"/>
      <c r="N88" s="22"/>
      <c r="O88" s="22"/>
      <c r="P88" s="22"/>
      <c r="Q88" s="22"/>
      <c r="R88" s="28"/>
      <c r="S88" s="22"/>
      <c r="T88" s="24"/>
      <c r="U88"/>
      <c r="V88"/>
      <c r="W88"/>
      <c r="X88"/>
      <c r="Y88"/>
      <c r="Z88" s="12"/>
      <c r="AA88" s="12"/>
      <c r="AB88" s="12"/>
      <c r="AC88" s="12"/>
      <c r="AD88" s="12"/>
      <c r="AE88" s="12"/>
      <c r="AF88" s="12"/>
      <c r="AG88" s="12"/>
      <c r="AH88" s="12"/>
      <c r="AI88" s="12"/>
    </row>
    <row r="89" spans="1:35" s="10" customFormat="1" x14ac:dyDescent="0.25">
      <c r="A89" s="12"/>
      <c r="B89" s="12"/>
      <c r="C89" s="12"/>
      <c r="D89"/>
      <c r="E89" s="21"/>
      <c r="F89" s="23"/>
      <c r="G89" s="23"/>
      <c r="H89" s="23"/>
      <c r="I89" s="22"/>
      <c r="J89" s="22"/>
      <c r="K89" s="22"/>
      <c r="L89" s="22"/>
      <c r="M89" s="21"/>
      <c r="N89" s="22"/>
      <c r="O89" s="22"/>
      <c r="P89" s="22"/>
      <c r="Q89" s="22"/>
      <c r="R89" s="22"/>
      <c r="S89" s="22"/>
      <c r="T89" s="21"/>
      <c r="U89"/>
      <c r="V89"/>
      <c r="W89"/>
      <c r="X89"/>
      <c r="Y89"/>
      <c r="Z89" s="12"/>
      <c r="AA89" s="12"/>
      <c r="AB89" s="12"/>
      <c r="AC89" s="12"/>
      <c r="AD89" s="12"/>
      <c r="AE89" s="12"/>
      <c r="AF89" s="12"/>
      <c r="AG89" s="12"/>
      <c r="AH89" s="12"/>
      <c r="AI89" s="12"/>
    </row>
    <row r="90" spans="1:35" s="10" customFormat="1" x14ac:dyDescent="0.25">
      <c r="A90" s="12"/>
      <c r="B90" s="12"/>
      <c r="C90" s="12"/>
      <c r="D90"/>
      <c r="E90" s="24"/>
      <c r="F90" s="23"/>
      <c r="G90" s="23"/>
      <c r="H90" s="23"/>
      <c r="I90" s="22"/>
      <c r="J90" s="22"/>
      <c r="K90" s="22"/>
      <c r="L90" s="23"/>
      <c r="M90" s="21"/>
      <c r="N90" s="22"/>
      <c r="O90" s="22"/>
      <c r="P90" s="22"/>
      <c r="Q90" s="22"/>
      <c r="R90" s="28"/>
      <c r="S90" s="22"/>
      <c r="T90" s="24"/>
      <c r="U90"/>
      <c r="V90"/>
      <c r="W90"/>
      <c r="X90"/>
      <c r="Y90"/>
      <c r="Z90" s="12"/>
      <c r="AA90" s="12"/>
      <c r="AB90" s="12"/>
      <c r="AC90" s="12"/>
      <c r="AD90" s="12"/>
      <c r="AE90" s="12"/>
      <c r="AF90" s="12"/>
      <c r="AG90" s="12"/>
      <c r="AH90" s="12"/>
      <c r="AI90" s="12"/>
    </row>
    <row r="91" spans="1:35" s="10" customFormat="1" x14ac:dyDescent="0.25">
      <c r="A91" s="12"/>
      <c r="B91" s="12"/>
      <c r="C91" s="12"/>
      <c r="D91"/>
      <c r="E91" s="24"/>
      <c r="F91" s="23"/>
      <c r="G91" s="23"/>
      <c r="H91" s="23"/>
      <c r="I91" s="22"/>
      <c r="J91" s="22"/>
      <c r="K91" s="22"/>
      <c r="L91" s="23"/>
      <c r="M91" s="21"/>
      <c r="N91" s="22"/>
      <c r="O91" s="22"/>
      <c r="P91" s="22"/>
      <c r="Q91" s="22"/>
      <c r="R91" s="28"/>
      <c r="S91" s="22"/>
      <c r="T91" s="24"/>
      <c r="U91"/>
      <c r="V91"/>
      <c r="W91"/>
      <c r="X91"/>
      <c r="Y91"/>
      <c r="Z91" s="12"/>
      <c r="AA91" s="12"/>
      <c r="AB91" s="12"/>
      <c r="AC91" s="12"/>
      <c r="AD91" s="12"/>
      <c r="AE91" s="12"/>
      <c r="AF91" s="12"/>
      <c r="AG91" s="12"/>
      <c r="AH91" s="12"/>
      <c r="AI91" s="12"/>
    </row>
    <row r="92" spans="1:35" s="10" customFormat="1" x14ac:dyDescent="0.25">
      <c r="A92" s="12"/>
      <c r="B92" s="12"/>
      <c r="C92" s="12"/>
      <c r="D92"/>
      <c r="E92" s="24"/>
      <c r="F92" s="23"/>
      <c r="G92" s="23"/>
      <c r="H92" s="23"/>
      <c r="I92" s="22"/>
      <c r="J92" s="22"/>
      <c r="K92" s="22"/>
      <c r="L92" s="22"/>
      <c r="M92" s="21"/>
      <c r="N92" s="22"/>
      <c r="O92" s="22"/>
      <c r="P92" s="22"/>
      <c r="Q92" s="22"/>
      <c r="R92" s="28"/>
      <c r="S92" s="22"/>
      <c r="T92" s="24"/>
      <c r="U92"/>
      <c r="V92"/>
      <c r="W92"/>
      <c r="X92"/>
      <c r="Y92"/>
      <c r="Z92" s="12"/>
      <c r="AA92" s="12"/>
      <c r="AB92" s="12"/>
      <c r="AC92" s="12"/>
      <c r="AD92" s="12"/>
      <c r="AE92" s="12"/>
      <c r="AF92" s="12"/>
      <c r="AG92" s="12"/>
      <c r="AH92" s="12"/>
      <c r="AI92" s="12"/>
    </row>
    <row r="93" spans="1:35" s="10" customFormat="1" x14ac:dyDescent="0.25">
      <c r="A93" s="12"/>
      <c r="B93" s="12"/>
      <c r="C93" s="12"/>
      <c r="D93"/>
      <c r="E93" s="24"/>
      <c r="F93" s="23"/>
      <c r="G93" s="23"/>
      <c r="H93" s="26"/>
      <c r="I93" s="22"/>
      <c r="J93" s="22"/>
      <c r="K93" s="22"/>
      <c r="L93" s="22"/>
      <c r="M93" s="30"/>
      <c r="N93" s="22"/>
      <c r="O93" s="22"/>
      <c r="P93" s="22"/>
      <c r="Q93" s="23"/>
      <c r="R93" s="23"/>
      <c r="S93" s="22"/>
      <c r="T93" s="27"/>
      <c r="U93"/>
      <c r="V93"/>
      <c r="W93"/>
      <c r="X93"/>
      <c r="Y93"/>
      <c r="Z93" s="12"/>
      <c r="AA93" s="12"/>
      <c r="AB93" s="12"/>
      <c r="AC93" s="12"/>
      <c r="AD93" s="12"/>
      <c r="AE93" s="12"/>
      <c r="AF93" s="12"/>
      <c r="AG93" s="12"/>
      <c r="AH93" s="12"/>
      <c r="AI93" s="12"/>
    </row>
    <row r="94" spans="1:35" s="10" customFormat="1" x14ac:dyDescent="0.25">
      <c r="A94" s="12"/>
      <c r="B94" s="12"/>
      <c r="C94" s="12"/>
      <c r="D94"/>
      <c r="E94" s="24"/>
      <c r="F94" s="23"/>
      <c r="G94" s="23"/>
      <c r="H94" s="26"/>
      <c r="I94" s="22"/>
      <c r="J94" s="22"/>
      <c r="K94" s="22"/>
      <c r="L94" s="22"/>
      <c r="M94" s="24"/>
      <c r="N94" s="22"/>
      <c r="O94" s="22"/>
      <c r="P94" s="22"/>
      <c r="Q94" s="23"/>
      <c r="R94" s="23"/>
      <c r="S94" s="22"/>
      <c r="T94" s="24"/>
      <c r="U94"/>
      <c r="V94"/>
      <c r="W94"/>
      <c r="X94"/>
      <c r="Y94"/>
      <c r="Z94" s="12"/>
      <c r="AA94" s="12"/>
      <c r="AB94" s="12"/>
      <c r="AC94" s="12"/>
      <c r="AD94" s="12"/>
      <c r="AE94" s="12"/>
      <c r="AF94" s="12"/>
      <c r="AG94" s="12"/>
      <c r="AH94" s="12"/>
      <c r="AI94" s="12"/>
    </row>
    <row r="95" spans="1:35" s="10" customFormat="1" x14ac:dyDescent="0.25">
      <c r="A95" s="12"/>
      <c r="B95" s="12"/>
      <c r="C95" s="12"/>
      <c r="D95"/>
      <c r="E95" s="24"/>
      <c r="F95" s="23"/>
      <c r="G95" s="23"/>
      <c r="H95" s="26"/>
      <c r="I95" s="22"/>
      <c r="J95" s="22"/>
      <c r="K95" s="22"/>
      <c r="L95" s="22"/>
      <c r="M95" s="24"/>
      <c r="N95" s="22"/>
      <c r="O95" s="22"/>
      <c r="P95" s="22"/>
      <c r="Q95" s="23"/>
      <c r="R95" s="23"/>
      <c r="S95" s="22"/>
      <c r="T95" s="24"/>
      <c r="U95"/>
      <c r="V95"/>
      <c r="W95"/>
      <c r="X95"/>
      <c r="Y95"/>
      <c r="Z95" s="12"/>
      <c r="AA95" s="12"/>
      <c r="AB95" s="12"/>
      <c r="AC95" s="12"/>
      <c r="AD95" s="12"/>
      <c r="AE95" s="12"/>
      <c r="AF95" s="12"/>
      <c r="AG95" s="12"/>
      <c r="AH95" s="12"/>
      <c r="AI95" s="12"/>
    </row>
    <row r="96" spans="1:35" s="10" customFormat="1" x14ac:dyDescent="0.25">
      <c r="A96" s="12"/>
      <c r="B96" s="12"/>
      <c r="C96" s="12"/>
      <c r="D96"/>
      <c r="E96" s="24"/>
      <c r="F96" s="23"/>
      <c r="G96" s="23"/>
      <c r="H96" s="26"/>
      <c r="I96" s="22"/>
      <c r="J96" s="22"/>
      <c r="K96" s="22"/>
      <c r="L96" s="22"/>
      <c r="M96" s="24"/>
      <c r="N96" s="22"/>
      <c r="O96" s="22"/>
      <c r="P96" s="22"/>
      <c r="Q96" s="23"/>
      <c r="R96" s="23"/>
      <c r="S96" s="22"/>
      <c r="T96" s="24"/>
      <c r="U96"/>
      <c r="V96"/>
      <c r="W96"/>
      <c r="X96"/>
      <c r="Y96"/>
      <c r="Z96" s="12"/>
      <c r="AA96" s="12"/>
      <c r="AB96" s="12"/>
      <c r="AC96" s="12"/>
      <c r="AD96" s="12"/>
      <c r="AE96" s="12"/>
      <c r="AF96" s="12"/>
      <c r="AG96" s="12"/>
      <c r="AH96" s="12"/>
      <c r="AI96" s="12"/>
    </row>
    <row r="97" spans="1:35" s="10" customFormat="1" x14ac:dyDescent="0.25">
      <c r="A97" s="12"/>
      <c r="B97" s="12"/>
      <c r="C97" s="12"/>
      <c r="D97"/>
      <c r="E97" s="24"/>
      <c r="F97" s="23"/>
      <c r="G97" s="23"/>
      <c r="H97" s="26"/>
      <c r="I97" s="22"/>
      <c r="J97" s="22"/>
      <c r="K97" s="22"/>
      <c r="L97" s="22"/>
      <c r="M97" s="24"/>
      <c r="N97" s="22"/>
      <c r="O97" s="22"/>
      <c r="P97" s="22"/>
      <c r="Q97" s="23"/>
      <c r="R97" s="23"/>
      <c r="S97" s="22"/>
      <c r="T97" s="24"/>
      <c r="U97"/>
      <c r="V97"/>
      <c r="W97"/>
      <c r="X97"/>
      <c r="Y97"/>
      <c r="Z97" s="12"/>
      <c r="AA97" s="12"/>
      <c r="AB97" s="12"/>
      <c r="AC97" s="12"/>
      <c r="AD97" s="12"/>
      <c r="AE97" s="12"/>
      <c r="AF97" s="12"/>
      <c r="AG97" s="12"/>
      <c r="AH97" s="12"/>
      <c r="AI97" s="12"/>
    </row>
    <row r="98" spans="1:35" s="10" customFormat="1" x14ac:dyDescent="0.25">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25">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24"/>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24"/>
      <c r="F102" s="23"/>
      <c r="G102" s="23"/>
      <c r="H102" s="26"/>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4"/>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1"/>
      <c r="F104" s="23"/>
      <c r="G104" s="23"/>
      <c r="H104" s="26"/>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3"/>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3"/>
      <c r="H106" s="23"/>
      <c r="I106" s="22"/>
      <c r="J106" s="22"/>
      <c r="K106" s="22"/>
      <c r="L106" s="22"/>
      <c r="M106" s="21"/>
      <c r="N106" s="22"/>
      <c r="O106" s="22"/>
      <c r="P106" s="22"/>
      <c r="Q106" s="23"/>
      <c r="R106" s="23"/>
      <c r="S106" s="22"/>
      <c r="T106" s="21"/>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3"/>
      <c r="H107" s="23"/>
      <c r="I107" s="22"/>
      <c r="J107" s="22"/>
      <c r="K107" s="22"/>
      <c r="L107" s="22"/>
      <c r="M107" s="21"/>
      <c r="N107" s="22"/>
      <c r="O107" s="22"/>
      <c r="P107" s="22"/>
      <c r="Q107" s="23"/>
      <c r="R107" s="23"/>
      <c r="S107" s="22"/>
      <c r="T107" s="21"/>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3"/>
      <c r="H108" s="23"/>
      <c r="I108" s="22"/>
      <c r="J108" s="22"/>
      <c r="K108" s="22"/>
      <c r="L108" s="22"/>
      <c r="M108" s="21"/>
      <c r="N108" s="22"/>
      <c r="O108" s="22"/>
      <c r="P108" s="22"/>
      <c r="Q108" s="23"/>
      <c r="R108" s="23"/>
      <c r="S108" s="22"/>
      <c r="T108" s="21"/>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24"/>
      <c r="F109" s="23"/>
      <c r="G109" s="23"/>
      <c r="H109" s="23"/>
      <c r="I109" s="22"/>
      <c r="J109" s="22"/>
      <c r="K109" s="22"/>
      <c r="L109" s="22"/>
      <c r="M109" s="21"/>
      <c r="N109" s="22"/>
      <c r="O109" s="22"/>
      <c r="P109" s="22"/>
      <c r="Q109" s="23"/>
      <c r="R109" s="23"/>
      <c r="S109" s="22"/>
      <c r="T109" s="21"/>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24"/>
      <c r="F110" s="23"/>
      <c r="G110" s="23"/>
      <c r="H110" s="23"/>
      <c r="I110" s="22"/>
      <c r="J110" s="22"/>
      <c r="K110" s="22"/>
      <c r="L110" s="22"/>
      <c r="M110" s="21"/>
      <c r="N110" s="22"/>
      <c r="O110" s="22"/>
      <c r="P110" s="22"/>
      <c r="Q110" s="23"/>
      <c r="R110" s="23"/>
      <c r="S110" s="22"/>
      <c r="T110" s="21"/>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24"/>
      <c r="F111" s="23"/>
      <c r="G111" s="23"/>
      <c r="H111" s="26"/>
      <c r="I111" s="22"/>
      <c r="J111" s="22"/>
      <c r="K111" s="22"/>
      <c r="L111" s="22"/>
      <c r="M111" s="21"/>
      <c r="N111" s="22"/>
      <c r="O111" s="22"/>
      <c r="P111" s="22"/>
      <c r="Q111" s="23"/>
      <c r="R111" s="23"/>
      <c r="S111" s="22"/>
      <c r="T111" s="21"/>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24"/>
      <c r="F112" s="23"/>
      <c r="G112" s="23"/>
      <c r="H112" s="26"/>
      <c r="I112" s="22"/>
      <c r="J112" s="22"/>
      <c r="K112" s="22"/>
      <c r="L112" s="22"/>
      <c r="M112" s="21"/>
      <c r="N112" s="22"/>
      <c r="O112" s="22"/>
      <c r="P112" s="22"/>
      <c r="Q112" s="22"/>
      <c r="R112" s="28"/>
      <c r="S112" s="22"/>
      <c r="T112" s="21"/>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1"/>
      <c r="F113" s="23"/>
      <c r="G113" s="23"/>
      <c r="H113" s="26"/>
      <c r="I113" s="22"/>
      <c r="J113" s="22"/>
      <c r="K113" s="22"/>
      <c r="L113" s="22"/>
      <c r="M113" s="21"/>
      <c r="N113" s="22"/>
      <c r="O113" s="22"/>
      <c r="P113" s="22"/>
      <c r="Q113" s="23"/>
      <c r="R113" s="23"/>
      <c r="S113" s="22"/>
      <c r="T113" s="21"/>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21"/>
      <c r="F114" s="23"/>
      <c r="G114" s="23"/>
      <c r="H114" s="26"/>
      <c r="I114" s="22"/>
      <c r="J114" s="22"/>
      <c r="K114" s="22"/>
      <c r="L114" s="22"/>
      <c r="M114" s="21"/>
      <c r="N114" s="22"/>
      <c r="O114" s="22"/>
      <c r="P114" s="22"/>
      <c r="Q114" s="23"/>
      <c r="R114" s="23"/>
      <c r="S114" s="22"/>
      <c r="T114" s="21"/>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21"/>
      <c r="F115" s="23"/>
      <c r="G115" s="23"/>
      <c r="H115" s="26"/>
      <c r="I115" s="22"/>
      <c r="J115" s="22"/>
      <c r="K115" s="22"/>
      <c r="L115" s="22"/>
      <c r="M115" s="21"/>
      <c r="N115" s="22"/>
      <c r="O115" s="22"/>
      <c r="P115" s="22"/>
      <c r="Q115" s="23"/>
      <c r="R115" s="23"/>
      <c r="S115" s="22"/>
      <c r="T115" s="21"/>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1"/>
      <c r="F116" s="23"/>
      <c r="G116" s="23"/>
      <c r="H116" s="26"/>
      <c r="I116" s="22"/>
      <c r="J116" s="22"/>
      <c r="K116" s="22"/>
      <c r="L116" s="22"/>
      <c r="M116" s="21"/>
      <c r="N116" s="22"/>
      <c r="O116" s="22"/>
      <c r="P116" s="22"/>
      <c r="Q116" s="23"/>
      <c r="R116" s="23"/>
      <c r="S116" s="22"/>
      <c r="T116" s="21"/>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1"/>
      <c r="F117" s="23"/>
      <c r="G117" s="23"/>
      <c r="H117" s="26"/>
      <c r="I117" s="22"/>
      <c r="J117" s="22"/>
      <c r="K117" s="22"/>
      <c r="L117" s="22"/>
      <c r="M117" s="21"/>
      <c r="N117" s="22"/>
      <c r="O117" s="22"/>
      <c r="P117" s="22"/>
      <c r="Q117" s="23"/>
      <c r="R117" s="23"/>
      <c r="S117" s="22"/>
      <c r="T117" s="21"/>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1"/>
      <c r="F118" s="23"/>
      <c r="G118" s="23"/>
      <c r="H118" s="26"/>
      <c r="I118" s="22"/>
      <c r="J118" s="22"/>
      <c r="K118" s="22"/>
      <c r="L118" s="22"/>
      <c r="M118" s="21"/>
      <c r="N118" s="22"/>
      <c r="O118" s="22"/>
      <c r="P118" s="22"/>
      <c r="Q118" s="23"/>
      <c r="R118" s="23"/>
      <c r="S118" s="22"/>
      <c r="T118" s="21"/>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2"/>
      <c r="F119" s="22"/>
      <c r="G119" s="22"/>
      <c r="H119" s="22"/>
      <c r="I119" s="22"/>
      <c r="J119" s="22"/>
      <c r="K119" s="22"/>
      <c r="L119" s="22"/>
      <c r="M119" s="22"/>
      <c r="N119" s="22"/>
      <c r="O119" s="22"/>
      <c r="P119" s="22"/>
      <c r="Q119" s="22"/>
      <c r="R119" s="28"/>
      <c r="S119" s="22"/>
      <c r="T119" s="22"/>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1"/>
      <c r="F120" s="23"/>
      <c r="G120" s="23"/>
      <c r="H120" s="26"/>
      <c r="I120" s="22"/>
      <c r="J120" s="22"/>
      <c r="K120" s="22"/>
      <c r="L120" s="22"/>
      <c r="M120" s="21"/>
      <c r="N120" s="22"/>
      <c r="O120" s="22"/>
      <c r="P120" s="22"/>
      <c r="Q120" s="23"/>
      <c r="R120" s="23"/>
      <c r="S120" s="22"/>
      <c r="T120" s="21"/>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4"/>
      <c r="F121" s="23"/>
      <c r="G121" s="23"/>
      <c r="H121" s="26"/>
      <c r="I121" s="22"/>
      <c r="J121" s="22"/>
      <c r="K121" s="22"/>
      <c r="L121" s="22"/>
      <c r="M121" s="21"/>
      <c r="N121" s="22"/>
      <c r="O121" s="22"/>
      <c r="P121" s="22"/>
      <c r="Q121" s="23"/>
      <c r="R121" s="23"/>
      <c r="S121" s="22"/>
      <c r="T121" s="21"/>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6"/>
      <c r="I122" s="22"/>
      <c r="J122" s="22"/>
      <c r="K122" s="22"/>
      <c r="L122" s="22"/>
      <c r="M122" s="21"/>
      <c r="N122" s="22"/>
      <c r="O122" s="22"/>
      <c r="P122" s="22"/>
      <c r="Q122" s="23"/>
      <c r="R122" s="23"/>
      <c r="S122" s="22"/>
      <c r="T122" s="21"/>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4"/>
      <c r="F123" s="23"/>
      <c r="G123" s="23"/>
      <c r="H123" s="26"/>
      <c r="I123" s="22"/>
      <c r="J123" s="22"/>
      <c r="K123" s="22"/>
      <c r="L123" s="22"/>
      <c r="M123" s="21"/>
      <c r="N123" s="22"/>
      <c r="O123" s="22"/>
      <c r="P123" s="22"/>
      <c r="Q123" s="23"/>
      <c r="R123" s="23"/>
      <c r="S123" s="22"/>
      <c r="T123" s="21"/>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4"/>
      <c r="F124" s="23"/>
      <c r="G124" s="23"/>
      <c r="H124" s="26"/>
      <c r="I124" s="22"/>
      <c r="J124" s="22"/>
      <c r="K124" s="22"/>
      <c r="L124" s="22"/>
      <c r="M124" s="21"/>
      <c r="N124" s="22"/>
      <c r="O124" s="22"/>
      <c r="P124" s="22"/>
      <c r="Q124" s="23"/>
      <c r="R124" s="23"/>
      <c r="S124" s="22"/>
      <c r="T124" s="21"/>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4"/>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4"/>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4"/>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4"/>
      <c r="F132" s="23"/>
      <c r="G132" s="23"/>
      <c r="H132" s="26"/>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4"/>
      <c r="F133" s="23"/>
      <c r="G133" s="23"/>
      <c r="H133" s="26"/>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4"/>
      <c r="F134" s="23"/>
      <c r="G134" s="23"/>
      <c r="H134" s="26"/>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6"/>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6"/>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6"/>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3"/>
      <c r="R139" s="23"/>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4"/>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4"/>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4"/>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4"/>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4"/>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4"/>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4"/>
      <c r="F146" s="23"/>
      <c r="G146" s="23"/>
      <c r="H146" s="26"/>
      <c r="I146" s="22"/>
      <c r="J146" s="22"/>
      <c r="K146" s="22"/>
      <c r="L146" s="22"/>
      <c r="M146" s="21"/>
      <c r="N146" s="22"/>
      <c r="O146" s="22"/>
      <c r="P146" s="22"/>
      <c r="Q146" s="23"/>
      <c r="R146" s="23"/>
      <c r="S146" s="22"/>
      <c r="T146" s="21"/>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4"/>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s="12"/>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s="12"/>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s="12"/>
      <c r="Z151" s="12"/>
      <c r="AA151" s="12"/>
      <c r="AB151" s="12"/>
      <c r="AC151" s="12"/>
      <c r="AD151" s="12"/>
      <c r="AE151" s="12"/>
      <c r="AF151" s="12"/>
      <c r="AG151" s="12"/>
      <c r="AH151" s="12"/>
      <c r="AI151" s="12"/>
    </row>
    <row r="152" spans="1:35" s="10" customFormat="1" x14ac:dyDescent="0.25">
      <c r="A152" s="12"/>
      <c r="B152" s="12"/>
      <c r="C152" s="12"/>
      <c r="D152"/>
      <c r="E152" s="24"/>
      <c r="F152" s="23"/>
      <c r="G152" s="23"/>
      <c r="H152" s="26"/>
      <c r="I152" s="22"/>
      <c r="J152" s="22"/>
      <c r="K152" s="22"/>
      <c r="L152" s="22"/>
      <c r="M152" s="21"/>
      <c r="N152" s="22"/>
      <c r="O152" s="22"/>
      <c r="P152" s="22"/>
      <c r="Q152" s="23"/>
      <c r="R152" s="23"/>
      <c r="S152" s="22"/>
      <c r="T152" s="21"/>
      <c r="U152"/>
      <c r="V152"/>
      <c r="W152"/>
      <c r="X152"/>
      <c r="Y152" s="12"/>
      <c r="Z152" s="12"/>
      <c r="AA152" s="12"/>
      <c r="AB152" s="12"/>
      <c r="AC152" s="12"/>
      <c r="AD152" s="12"/>
      <c r="AE152" s="12"/>
      <c r="AF152" s="12"/>
      <c r="AG152" s="12"/>
      <c r="AH152" s="12"/>
      <c r="AI152" s="12"/>
    </row>
    <row r="153" spans="1:35" s="10" customFormat="1" x14ac:dyDescent="0.25">
      <c r="A153" s="12"/>
      <c r="B153" s="12"/>
      <c r="C153" s="12"/>
      <c r="D153"/>
      <c r="E153" s="24"/>
      <c r="F153" s="23"/>
      <c r="G153" s="22"/>
      <c r="H153" s="25"/>
      <c r="I153" s="22"/>
      <c r="J153" s="22"/>
      <c r="K153" s="22"/>
      <c r="L153" s="22"/>
      <c r="M153" s="24"/>
      <c r="N153" s="22"/>
      <c r="O153" s="22"/>
      <c r="P153" s="22"/>
      <c r="Q153" s="22"/>
      <c r="R153" s="22"/>
      <c r="S153" s="22"/>
      <c r="T153" s="19"/>
      <c r="U153"/>
      <c r="V153"/>
      <c r="W153"/>
      <c r="X153"/>
      <c r="Y153" s="12"/>
      <c r="Z153" s="12"/>
      <c r="AA153" s="12"/>
      <c r="AB153" s="12"/>
      <c r="AC153" s="12"/>
      <c r="AD153" s="12"/>
      <c r="AE153" s="12"/>
      <c r="AF153" s="12"/>
      <c r="AG153" s="12"/>
      <c r="AH153" s="12"/>
      <c r="AI153" s="12"/>
    </row>
    <row r="154" spans="1:35" s="10" customFormat="1" x14ac:dyDescent="0.25">
      <c r="A154" s="12"/>
      <c r="B154" s="12"/>
      <c r="C154" s="12"/>
      <c r="D154"/>
      <c r="E154"/>
      <c r="F154"/>
      <c r="G154"/>
      <c r="H154"/>
      <c r="I154"/>
      <c r="J154"/>
      <c r="K154"/>
      <c r="L154"/>
      <c r="M154"/>
      <c r="N154"/>
      <c r="O154"/>
      <c r="P154"/>
      <c r="Q154"/>
      <c r="R154"/>
      <c r="S154"/>
      <c r="T154"/>
      <c r="U154"/>
      <c r="V154"/>
      <c r="W154"/>
      <c r="X154"/>
      <c r="Y154" s="12"/>
      <c r="Z154" s="12"/>
      <c r="AA154" s="12"/>
      <c r="AB154" s="12"/>
      <c r="AC154" s="12"/>
      <c r="AD154" s="12"/>
      <c r="AE154" s="12"/>
      <c r="AF154" s="12"/>
      <c r="AG154" s="12"/>
      <c r="AH154" s="12"/>
      <c r="AI154" s="12"/>
    </row>
    <row r="155" spans="1:35" s="10" customFormat="1" x14ac:dyDescent="0.25">
      <c r="A155" s="12"/>
      <c r="B155" s="12"/>
      <c r="C155" s="12"/>
      <c r="D155"/>
      <c r="E155"/>
      <c r="F155"/>
      <c r="G155"/>
      <c r="H155"/>
      <c r="I155"/>
      <c r="J155"/>
      <c r="K155"/>
      <c r="L155"/>
      <c r="M155"/>
      <c r="N155"/>
      <c r="O155"/>
      <c r="P155"/>
      <c r="Q155"/>
      <c r="R155"/>
      <c r="S155"/>
      <c r="T155"/>
      <c r="U155"/>
      <c r="V155"/>
      <c r="W155"/>
      <c r="X155"/>
      <c r="Y155" s="12"/>
      <c r="Z155" s="12"/>
      <c r="AA155" s="12"/>
      <c r="AB155" s="12"/>
      <c r="AC155" s="12"/>
      <c r="AD155" s="12"/>
      <c r="AE155" s="12"/>
      <c r="AF155" s="12"/>
      <c r="AG155" s="12"/>
      <c r="AH155" s="12"/>
      <c r="AI155" s="12"/>
    </row>
    <row r="156" spans="1:35" s="10" customFormat="1" x14ac:dyDescent="0.25">
      <c r="A156" s="12"/>
      <c r="B156" s="12"/>
      <c r="C156" s="12"/>
      <c r="D156"/>
      <c r="E156"/>
      <c r="F156"/>
      <c r="G156"/>
      <c r="H156"/>
      <c r="I156"/>
      <c r="J156"/>
      <c r="K156"/>
      <c r="L156"/>
      <c r="M156"/>
      <c r="N156"/>
      <c r="O156"/>
      <c r="P156"/>
      <c r="Q156"/>
      <c r="R156"/>
      <c r="S156"/>
      <c r="T156"/>
      <c r="U156"/>
      <c r="V156"/>
      <c r="W156"/>
      <c r="X156"/>
      <c r="Y156" s="12"/>
      <c r="Z156" s="12"/>
      <c r="AA156" s="12"/>
      <c r="AB156" s="12"/>
      <c r="AC156" s="12"/>
      <c r="AD156" s="12"/>
      <c r="AE156" s="12"/>
      <c r="AF156" s="12"/>
      <c r="AG156" s="12"/>
      <c r="AH156" s="12"/>
      <c r="AI156" s="12"/>
    </row>
    <row r="157" spans="1:35" s="10" customFormat="1" x14ac:dyDescent="0.25">
      <c r="A157" s="12"/>
      <c r="B157" s="12"/>
      <c r="C157" s="12"/>
      <c r="D157"/>
      <c r="E157"/>
      <c r="F157"/>
      <c r="G157"/>
      <c r="H157"/>
      <c r="I157"/>
      <c r="J157"/>
      <c r="K157"/>
      <c r="L157"/>
      <c r="M157"/>
      <c r="N157"/>
      <c r="O157"/>
      <c r="P157"/>
      <c r="Q157"/>
      <c r="R157"/>
      <c r="S157"/>
      <c r="T157"/>
      <c r="U157"/>
      <c r="V157"/>
      <c r="W157"/>
      <c r="X157"/>
      <c r="Y157" s="12"/>
      <c r="Z157" s="12"/>
      <c r="AA157" s="12"/>
      <c r="AB157" s="12"/>
      <c r="AC157" s="12"/>
      <c r="AD157" s="12"/>
      <c r="AE157" s="12"/>
      <c r="AF157" s="12"/>
      <c r="AG157" s="12"/>
      <c r="AH157" s="12"/>
      <c r="AI157" s="12"/>
    </row>
    <row r="158" spans="1:35" s="10" customFormat="1" x14ac:dyDescent="0.25">
      <c r="A158" s="12"/>
      <c r="B158" s="12"/>
      <c r="C158" s="12"/>
      <c r="D158"/>
      <c r="E158"/>
      <c r="F158"/>
      <c r="G158"/>
      <c r="H158"/>
      <c r="I158"/>
      <c r="J158"/>
      <c r="K158"/>
      <c r="L158"/>
      <c r="M158"/>
      <c r="N158"/>
      <c r="O158"/>
      <c r="P158"/>
      <c r="Q158"/>
      <c r="R158"/>
      <c r="S158"/>
      <c r="T158"/>
      <c r="U158"/>
      <c r="V158"/>
      <c r="W158"/>
      <c r="X158"/>
      <c r="Y158" s="12"/>
      <c r="Z158" s="12"/>
      <c r="AA158" s="12"/>
      <c r="AB158" s="12"/>
      <c r="AC158" s="12"/>
      <c r="AD158" s="12"/>
      <c r="AE158" s="12"/>
      <c r="AF158" s="12"/>
      <c r="AG158" s="12"/>
      <c r="AH158" s="12"/>
      <c r="AI158" s="12"/>
    </row>
    <row r="159" spans="1:35" s="10" customFormat="1" x14ac:dyDescent="0.25">
      <c r="A159" s="12"/>
      <c r="B159" s="12"/>
      <c r="C159" s="12"/>
      <c r="D159"/>
      <c r="E159"/>
      <c r="F159"/>
      <c r="G159"/>
      <c r="H159"/>
      <c r="I159"/>
      <c r="J159"/>
      <c r="K159"/>
      <c r="L159"/>
      <c r="M159"/>
      <c r="N159"/>
      <c r="O159"/>
      <c r="P159"/>
      <c r="Q159"/>
      <c r="R159"/>
      <c r="S159"/>
      <c r="T159"/>
      <c r="U159"/>
      <c r="V159"/>
      <c r="W159"/>
      <c r="X159"/>
      <c r="Y159" s="12"/>
      <c r="Z159" s="12"/>
      <c r="AA159" s="12"/>
      <c r="AB159" s="12"/>
      <c r="AC159" s="12"/>
      <c r="AD159" s="12"/>
      <c r="AE159" s="12"/>
      <c r="AF159" s="12"/>
      <c r="AG159" s="12"/>
      <c r="AH159" s="12"/>
      <c r="AI159" s="12"/>
    </row>
    <row r="160" spans="1:35" s="10" customFormat="1" x14ac:dyDescent="0.25">
      <c r="A160" s="12"/>
      <c r="B160" s="12"/>
      <c r="C160" s="12"/>
      <c r="D160"/>
      <c r="E160"/>
      <c r="F160"/>
      <c r="G160"/>
      <c r="H160"/>
      <c r="I160"/>
      <c r="J160"/>
      <c r="K160"/>
      <c r="L160"/>
      <c r="M160"/>
      <c r="N160"/>
      <c r="O160"/>
      <c r="P160"/>
      <c r="Q160"/>
      <c r="R160"/>
      <c r="S160"/>
      <c r="T160"/>
      <c r="U160"/>
      <c r="V160"/>
      <c r="W160"/>
      <c r="X160"/>
      <c r="Y160" s="12"/>
      <c r="Z160" s="12"/>
      <c r="AA160" s="12"/>
      <c r="AB160" s="12"/>
      <c r="AC160" s="12"/>
      <c r="AD160" s="12"/>
      <c r="AE160" s="12"/>
      <c r="AF160" s="12"/>
      <c r="AG160" s="12"/>
      <c r="AH160" s="12"/>
      <c r="AI160" s="12"/>
    </row>
    <row r="161" spans="1:35" s="10" customFormat="1" x14ac:dyDescent="0.25">
      <c r="A161" s="12"/>
      <c r="B161" s="12"/>
      <c r="C161" s="12"/>
      <c r="D161"/>
      <c r="E161"/>
      <c r="F161"/>
      <c r="G161"/>
      <c r="H161"/>
      <c r="I161"/>
      <c r="J161"/>
      <c r="K161"/>
      <c r="L161"/>
      <c r="M161"/>
      <c r="N161"/>
      <c r="O161"/>
      <c r="P161"/>
      <c r="Q161"/>
      <c r="R161"/>
      <c r="S161"/>
      <c r="T161"/>
      <c r="U161"/>
      <c r="V161"/>
      <c r="W161"/>
      <c r="X161"/>
      <c r="Y161" s="12"/>
      <c r="Z161" s="12"/>
      <c r="AA161" s="12"/>
      <c r="AB161" s="12"/>
      <c r="AC161" s="12"/>
      <c r="AD161" s="12"/>
      <c r="AE161" s="12"/>
      <c r="AF161" s="12"/>
      <c r="AG161" s="12"/>
      <c r="AH161" s="12"/>
      <c r="AI161" s="12"/>
    </row>
    <row r="162" spans="1:35" s="10" customFormat="1" x14ac:dyDescent="0.25">
      <c r="A162" s="12"/>
      <c r="B162" s="12"/>
      <c r="C162" s="12"/>
      <c r="D162"/>
      <c r="E162"/>
      <c r="F162"/>
      <c r="G162"/>
      <c r="H162"/>
      <c r="I162"/>
      <c r="J162"/>
      <c r="K162"/>
      <c r="L162"/>
      <c r="M162"/>
      <c r="N162"/>
      <c r="O162"/>
      <c r="P162"/>
      <c r="Q162"/>
      <c r="R162"/>
      <c r="S162"/>
      <c r="T162"/>
      <c r="U162"/>
      <c r="V162"/>
      <c r="W162"/>
      <c r="X162"/>
      <c r="Y162" s="12"/>
      <c r="Z162" s="12"/>
      <c r="AA162" s="12"/>
      <c r="AB162" s="12"/>
      <c r="AC162" s="12"/>
      <c r="AD162" s="12"/>
      <c r="AE162" s="12"/>
      <c r="AF162" s="12"/>
      <c r="AG162" s="12"/>
      <c r="AH162" s="12"/>
      <c r="AI162" s="12"/>
    </row>
    <row r="163" spans="1:35" s="10" customFormat="1" x14ac:dyDescent="0.25">
      <c r="A163" s="12"/>
      <c r="B163" s="12"/>
      <c r="C163" s="12"/>
      <c r="D163"/>
      <c r="E163"/>
      <c r="F163"/>
      <c r="G163"/>
      <c r="H163"/>
      <c r="I163"/>
      <c r="J163"/>
      <c r="K163"/>
      <c r="L163"/>
      <c r="M163"/>
      <c r="N163"/>
      <c r="O163"/>
      <c r="P163"/>
      <c r="Q163"/>
      <c r="R163"/>
      <c r="S163"/>
      <c r="T163"/>
      <c r="U163"/>
      <c r="V163"/>
      <c r="W163"/>
      <c r="X163"/>
      <c r="Y163" s="12"/>
      <c r="Z163" s="12"/>
      <c r="AA163" s="12"/>
      <c r="AB163" s="12"/>
      <c r="AC163" s="12"/>
      <c r="AD163" s="12"/>
      <c r="AE163" s="12"/>
      <c r="AF163" s="12"/>
      <c r="AG163" s="12"/>
      <c r="AH163" s="12"/>
      <c r="AI163" s="12"/>
    </row>
    <row r="164" spans="1:35" s="10" customFormat="1" x14ac:dyDescent="0.25">
      <c r="A164" s="12"/>
      <c r="B164" s="12"/>
      <c r="C164" s="12"/>
      <c r="D164"/>
      <c r="E164"/>
      <c r="F164"/>
      <c r="G164"/>
      <c r="H164"/>
      <c r="I164"/>
      <c r="J164"/>
      <c r="K164"/>
      <c r="L164"/>
      <c r="M164"/>
      <c r="N164"/>
      <c r="O164"/>
      <c r="P164"/>
      <c r="Q164"/>
      <c r="R164"/>
      <c r="S164"/>
      <c r="T164"/>
      <c r="U164"/>
      <c r="V164"/>
      <c r="W164"/>
      <c r="X164"/>
      <c r="Y164" s="12"/>
      <c r="Z164" s="12"/>
      <c r="AA164" s="12"/>
      <c r="AB164" s="12"/>
      <c r="AC164" s="12"/>
      <c r="AD164" s="12"/>
      <c r="AE164" s="12"/>
      <c r="AF164" s="12"/>
      <c r="AG164" s="12"/>
      <c r="AH164" s="12"/>
      <c r="AI164" s="12"/>
    </row>
    <row r="165" spans="1:35" s="10" customFormat="1" x14ac:dyDescent="0.25">
      <c r="A165" s="12"/>
      <c r="B165" s="12"/>
      <c r="C165" s="12"/>
      <c r="D165"/>
      <c r="E165"/>
      <c r="F165"/>
      <c r="G165"/>
      <c r="H165"/>
      <c r="I165"/>
      <c r="J165"/>
      <c r="K165"/>
      <c r="L165"/>
      <c r="M165"/>
      <c r="N165"/>
      <c r="O165"/>
      <c r="P165"/>
      <c r="Q165"/>
      <c r="R165"/>
      <c r="S165"/>
      <c r="T165"/>
      <c r="U165"/>
      <c r="V165"/>
      <c r="W165"/>
      <c r="X165"/>
      <c r="Y165" s="12"/>
      <c r="Z165" s="12"/>
      <c r="AA165" s="12"/>
      <c r="AB165" s="12"/>
      <c r="AC165" s="12"/>
      <c r="AD165" s="12"/>
      <c r="AE165" s="12"/>
      <c r="AF165" s="12"/>
      <c r="AG165" s="12"/>
      <c r="AH165" s="12"/>
      <c r="AI165" s="12"/>
    </row>
    <row r="166" spans="1:35" s="10" customFormat="1" x14ac:dyDescent="0.25">
      <c r="A166" s="12"/>
      <c r="B166" s="12"/>
      <c r="C166" s="12"/>
      <c r="D166"/>
      <c r="E166" s="24"/>
      <c r="F166" s="23"/>
      <c r="G166" s="22"/>
      <c r="H166" s="22"/>
      <c r="I166" s="22"/>
      <c r="J166" s="22"/>
      <c r="K166" s="22"/>
      <c r="L166" s="22"/>
      <c r="M166" s="21"/>
      <c r="N166" s="22"/>
      <c r="O166" s="22"/>
      <c r="P166" s="22"/>
      <c r="Q166" s="22"/>
      <c r="R166" s="22"/>
      <c r="S166" s="22"/>
      <c r="T166" s="19"/>
      <c r="U166"/>
      <c r="V166"/>
      <c r="W166"/>
      <c r="X166"/>
      <c r="Y166"/>
      <c r="Z166" s="12"/>
      <c r="AA166" s="12"/>
      <c r="AB166" s="12"/>
      <c r="AC166" s="12"/>
      <c r="AD166" s="12"/>
      <c r="AE166" s="12"/>
      <c r="AF166" s="12"/>
      <c r="AG166" s="12"/>
      <c r="AH166" s="12"/>
      <c r="AI166" s="12"/>
    </row>
    <row r="167" spans="1:35" s="10" customFormat="1" x14ac:dyDescent="0.25">
      <c r="A167" s="12"/>
      <c r="B167" s="12"/>
      <c r="C167" s="12"/>
      <c r="D167"/>
      <c r="E167" s="24"/>
      <c r="F167" s="23"/>
      <c r="G167" s="23"/>
      <c r="H167" s="26"/>
      <c r="I167" s="22"/>
      <c r="J167" s="22"/>
      <c r="K167" s="22"/>
      <c r="L167" s="22"/>
      <c r="M167" s="24"/>
      <c r="N167" s="22"/>
      <c r="O167" s="22"/>
      <c r="P167" s="22"/>
      <c r="Q167" s="22"/>
      <c r="R167" s="28"/>
      <c r="S167" s="22"/>
      <c r="T167" s="24"/>
      <c r="U167"/>
      <c r="V167"/>
      <c r="W167"/>
      <c r="X167"/>
      <c r="Y167"/>
      <c r="Z167" s="12"/>
      <c r="AA167" s="12"/>
      <c r="AB167" s="12"/>
      <c r="AC167" s="12"/>
      <c r="AD167" s="12"/>
      <c r="AE167" s="12"/>
      <c r="AF167" s="12"/>
      <c r="AG167" s="12"/>
      <c r="AH167" s="12"/>
      <c r="AI167" s="12"/>
    </row>
    <row r="168" spans="1:35" s="10" customFormat="1" x14ac:dyDescent="0.25">
      <c r="A168" s="12"/>
      <c r="B168" s="12"/>
      <c r="C168" s="12"/>
      <c r="D168"/>
      <c r="E168" s="19"/>
      <c r="F168" s="23"/>
      <c r="G168" s="22"/>
      <c r="H168" s="22"/>
      <c r="I168" s="22"/>
      <c r="J168" s="22"/>
      <c r="K168" s="22"/>
      <c r="L168" s="23"/>
      <c r="M168" s="24"/>
      <c r="N168" s="22"/>
      <c r="O168" s="22"/>
      <c r="P168" s="22"/>
      <c r="Q168" s="22"/>
      <c r="R168" s="28"/>
      <c r="S168" s="22"/>
      <c r="T168" s="24"/>
      <c r="U168"/>
      <c r="V168"/>
      <c r="W168"/>
      <c r="X168"/>
      <c r="Y168"/>
      <c r="Z168" s="12"/>
      <c r="AA168" s="12"/>
      <c r="AB168" s="12"/>
      <c r="AC168" s="12"/>
      <c r="AD168" s="12"/>
      <c r="AE168" s="12"/>
      <c r="AF168" s="12"/>
      <c r="AG168" s="12"/>
      <c r="AH168" s="12"/>
      <c r="AI168" s="12"/>
    </row>
    <row r="169" spans="1:35" s="10" customFormat="1" x14ac:dyDescent="0.25">
      <c r="A169" s="12"/>
      <c r="B169" s="12"/>
      <c r="C169" s="12"/>
      <c r="D169"/>
      <c r="E169" s="19"/>
      <c r="F169" s="23"/>
      <c r="G169" s="22"/>
      <c r="H169" s="22"/>
      <c r="I169" s="22"/>
      <c r="J169" s="22"/>
      <c r="K169" s="22"/>
      <c r="L169" s="23"/>
      <c r="M169" s="24"/>
      <c r="N169" s="22"/>
      <c r="O169" s="22"/>
      <c r="P169" s="22"/>
      <c r="Q169" s="22"/>
      <c r="R169" s="28"/>
      <c r="S169" s="22"/>
      <c r="T169" s="24"/>
      <c r="U169"/>
      <c r="V169"/>
      <c r="W169"/>
      <c r="X169"/>
      <c r="Y169"/>
      <c r="Z169" s="12"/>
      <c r="AA169" s="12"/>
      <c r="AB169" s="12"/>
      <c r="AC169" s="12"/>
      <c r="AD169" s="12"/>
      <c r="AE169" s="12"/>
      <c r="AF169" s="12"/>
      <c r="AG169" s="12"/>
      <c r="AH169" s="12"/>
      <c r="AI169" s="12"/>
    </row>
    <row r="170" spans="1:35" s="10" customFormat="1" x14ac:dyDescent="0.25">
      <c r="A170" s="12"/>
      <c r="B170" s="12"/>
      <c r="C170" s="12"/>
      <c r="D170"/>
      <c r="E170" s="19"/>
      <c r="F170" s="23"/>
      <c r="G170" s="22"/>
      <c r="H170" s="25"/>
      <c r="I170" s="22"/>
      <c r="J170" s="22"/>
      <c r="K170" s="22"/>
      <c r="L170" s="23"/>
      <c r="M170" s="24"/>
      <c r="N170" s="22"/>
      <c r="O170" s="22"/>
      <c r="P170" s="22"/>
      <c r="Q170" s="22"/>
      <c r="R170" s="28"/>
      <c r="S170" s="22"/>
      <c r="T170" s="24"/>
      <c r="U170"/>
      <c r="V170"/>
      <c r="W170"/>
      <c r="X170"/>
      <c r="Y170"/>
      <c r="Z170" s="12"/>
      <c r="AA170" s="12"/>
      <c r="AB170" s="12"/>
      <c r="AC170" s="12"/>
      <c r="AD170" s="12"/>
      <c r="AE170" s="12"/>
      <c r="AF170" s="12"/>
      <c r="AG170" s="12"/>
      <c r="AH170" s="12"/>
      <c r="AI170" s="12"/>
    </row>
    <row r="171" spans="1:35" s="10" customFormat="1" x14ac:dyDescent="0.25">
      <c r="A171" s="12"/>
      <c r="B171" s="12"/>
      <c r="C171" s="12"/>
      <c r="D171"/>
      <c r="E171" s="19"/>
      <c r="F171" s="23"/>
      <c r="G171" s="22"/>
      <c r="H171" s="22"/>
      <c r="I171" s="22"/>
      <c r="J171" s="22"/>
      <c r="K171" s="22"/>
      <c r="L171" s="23"/>
      <c r="M171" s="24"/>
      <c r="N171" s="22"/>
      <c r="O171" s="22"/>
      <c r="P171" s="22"/>
      <c r="Q171" s="22"/>
      <c r="R171" s="28"/>
      <c r="S171" s="22"/>
      <c r="T171" s="24"/>
      <c r="U171"/>
      <c r="V171"/>
      <c r="W171"/>
      <c r="X171"/>
      <c r="Y171"/>
      <c r="Z171" s="12"/>
      <c r="AA171" s="12"/>
      <c r="AB171" s="12"/>
      <c r="AC171" s="12"/>
      <c r="AD171" s="12"/>
      <c r="AE171" s="12"/>
      <c r="AF171" s="12"/>
      <c r="AG171" s="12"/>
      <c r="AH171" s="12"/>
      <c r="AI171" s="12"/>
    </row>
    <row r="172" spans="1:35" s="10" customFormat="1" x14ac:dyDescent="0.25">
      <c r="A172" s="12"/>
      <c r="B172" s="12"/>
      <c r="C172" s="12"/>
      <c r="D172"/>
      <c r="E172" s="19"/>
      <c r="F172" s="23"/>
      <c r="G172" s="22"/>
      <c r="H172" s="22"/>
      <c r="I172" s="22"/>
      <c r="J172" s="22"/>
      <c r="K172" s="22"/>
      <c r="L172" s="23"/>
      <c r="M172" s="24"/>
      <c r="N172" s="22"/>
      <c r="O172" s="22"/>
      <c r="P172" s="22"/>
      <c r="Q172" s="22"/>
      <c r="R172" s="28"/>
      <c r="S172" s="22"/>
      <c r="T172" s="24"/>
      <c r="U172"/>
      <c r="V172"/>
      <c r="W172"/>
      <c r="X172"/>
      <c r="Y172"/>
      <c r="Z172" s="12"/>
      <c r="AA172" s="12"/>
      <c r="AB172" s="12"/>
      <c r="AC172" s="12"/>
      <c r="AD172" s="12"/>
      <c r="AE172" s="12"/>
      <c r="AF172" s="12"/>
      <c r="AG172" s="12"/>
      <c r="AH172" s="12"/>
      <c r="AI172" s="12"/>
    </row>
    <row r="173" spans="1:35" s="10" customFormat="1" x14ac:dyDescent="0.25">
      <c r="A173" s="12"/>
      <c r="B173" s="12"/>
      <c r="C173" s="12"/>
      <c r="D173"/>
      <c r="E173" s="22"/>
      <c r="F173" s="23"/>
      <c r="G173" s="22"/>
      <c r="H173" s="22"/>
      <c r="I173" s="22"/>
      <c r="J173" s="22"/>
      <c r="K173" s="22"/>
      <c r="L173" s="23"/>
      <c r="M173" s="24"/>
      <c r="N173" s="22"/>
      <c r="O173" s="22"/>
      <c r="P173" s="22"/>
      <c r="Q173" s="22"/>
      <c r="R173" s="28"/>
      <c r="S173" s="22"/>
      <c r="T173" s="24"/>
      <c r="U173"/>
      <c r="V173"/>
      <c r="W173"/>
      <c r="X173"/>
      <c r="Y173"/>
      <c r="Z173" s="12"/>
      <c r="AA173" s="12"/>
      <c r="AB173" s="12"/>
      <c r="AC173" s="12"/>
      <c r="AD173" s="12"/>
      <c r="AE173" s="12"/>
      <c r="AF173" s="12"/>
      <c r="AG173" s="12"/>
      <c r="AH173" s="12"/>
      <c r="AI173" s="12"/>
    </row>
    <row r="174" spans="1:35" s="10" customFormat="1" x14ac:dyDescent="0.25">
      <c r="A174" s="12"/>
      <c r="B174" s="12"/>
      <c r="C174" s="12"/>
      <c r="D174"/>
      <c r="E174" s="22"/>
      <c r="F174" s="23"/>
      <c r="G174" s="22"/>
      <c r="H174" s="22"/>
      <c r="I174" s="22"/>
      <c r="J174" s="22"/>
      <c r="K174" s="22"/>
      <c r="L174" s="23"/>
      <c r="M174" s="24"/>
      <c r="N174" s="22"/>
      <c r="O174" s="22"/>
      <c r="P174" s="22"/>
      <c r="Q174" s="22"/>
      <c r="R174" s="28"/>
      <c r="S174" s="22"/>
      <c r="T174" s="24"/>
      <c r="U174"/>
      <c r="V174"/>
      <c r="W174"/>
      <c r="X174"/>
      <c r="Y174"/>
      <c r="Z174" s="12"/>
      <c r="AA174" s="12"/>
      <c r="AB174" s="12"/>
      <c r="AC174" s="12"/>
      <c r="AD174" s="12"/>
      <c r="AE174" s="12"/>
      <c r="AF174" s="12"/>
      <c r="AG174" s="12"/>
      <c r="AH174" s="12"/>
      <c r="AI174" s="12"/>
    </row>
    <row r="175" spans="1:35" s="10" customFormat="1" x14ac:dyDescent="0.25">
      <c r="A175" s="12"/>
      <c r="B175" s="12"/>
      <c r="C175" s="12"/>
      <c r="D175"/>
      <c r="E175" s="22"/>
      <c r="F175" s="23"/>
      <c r="G175" s="22"/>
      <c r="H175" s="22"/>
      <c r="I175" s="22"/>
      <c r="J175" s="22"/>
      <c r="K175" s="22"/>
      <c r="L175" s="23"/>
      <c r="M175" s="24"/>
      <c r="N175" s="22"/>
      <c r="O175" s="22"/>
      <c r="P175" s="22"/>
      <c r="Q175" s="22"/>
      <c r="R175" s="28"/>
      <c r="S175" s="22"/>
      <c r="T175" s="24"/>
      <c r="U175"/>
      <c r="V175"/>
      <c r="W175"/>
      <c r="X175"/>
      <c r="Y175"/>
      <c r="Z175" s="12"/>
      <c r="AA175" s="12"/>
      <c r="AB175" s="12"/>
      <c r="AC175" s="12"/>
      <c r="AD175" s="12"/>
      <c r="AE175" s="12"/>
      <c r="AF175" s="12"/>
      <c r="AG175" s="12"/>
      <c r="AH175" s="12"/>
      <c r="AI175" s="12"/>
    </row>
    <row r="176" spans="1:35" s="10" customFormat="1" x14ac:dyDescent="0.25">
      <c r="A176" s="12"/>
      <c r="B176" s="12"/>
      <c r="C176" s="12"/>
      <c r="D176"/>
      <c r="E176" s="24"/>
      <c r="F176" s="23"/>
      <c r="G176" s="23"/>
      <c r="H176" s="23"/>
      <c r="I176" s="22"/>
      <c r="J176" s="22"/>
      <c r="K176" s="22"/>
      <c r="L176" s="22"/>
      <c r="M176" s="24"/>
      <c r="N176" s="22"/>
      <c r="O176" s="22"/>
      <c r="P176" s="22"/>
      <c r="Q176" s="22"/>
      <c r="R176" s="28"/>
      <c r="S176" s="22"/>
      <c r="T176" s="24"/>
      <c r="U176"/>
      <c r="V176"/>
      <c r="W176"/>
      <c r="X176"/>
      <c r="Y176"/>
      <c r="Z176" s="12"/>
      <c r="AA176" s="12"/>
      <c r="AB176" s="12"/>
      <c r="AC176" s="12"/>
      <c r="AD176" s="12"/>
      <c r="AE176" s="12"/>
      <c r="AF176" s="12"/>
      <c r="AG176" s="12"/>
      <c r="AH176" s="12"/>
      <c r="AI176" s="12"/>
    </row>
    <row r="177" spans="1:35" s="10" customFormat="1" x14ac:dyDescent="0.25">
      <c r="A177" s="12"/>
      <c r="B177" s="12"/>
      <c r="C177" s="12"/>
      <c r="D177"/>
      <c r="E177" s="24"/>
      <c r="F177" s="23"/>
      <c r="G177" s="23"/>
      <c r="H177" s="23"/>
      <c r="I177" s="22"/>
      <c r="J177" s="22"/>
      <c r="K177" s="22"/>
      <c r="L177" s="22"/>
      <c r="M177" s="24"/>
      <c r="N177" s="22"/>
      <c r="O177" s="22"/>
      <c r="P177" s="22"/>
      <c r="Q177" s="23"/>
      <c r="R177" s="23"/>
      <c r="S177" s="22"/>
      <c r="T177" s="24"/>
      <c r="U177"/>
      <c r="V177"/>
      <c r="W177"/>
      <c r="X177"/>
      <c r="Y177"/>
      <c r="Z177" s="12"/>
      <c r="AA177" s="12"/>
      <c r="AB177" s="12"/>
      <c r="AC177" s="12"/>
      <c r="AD177" s="12"/>
      <c r="AE177" s="12"/>
      <c r="AF177" s="12"/>
      <c r="AG177" s="12"/>
      <c r="AH177" s="12"/>
      <c r="AI177" s="12"/>
    </row>
    <row r="178" spans="1:35" s="10" customFormat="1" x14ac:dyDescent="0.25">
      <c r="A178" s="12"/>
      <c r="B178" s="12"/>
      <c r="C178" s="12"/>
      <c r="D178"/>
      <c r="E178" s="24"/>
      <c r="F178" s="23"/>
      <c r="G178" s="23"/>
      <c r="H178" s="23"/>
      <c r="I178" s="22"/>
      <c r="J178" s="22"/>
      <c r="K178" s="22"/>
      <c r="L178" s="22"/>
      <c r="M178" s="24"/>
      <c r="N178" s="22"/>
      <c r="O178" s="22"/>
      <c r="P178" s="22"/>
      <c r="Q178" s="23"/>
      <c r="R178" s="23"/>
      <c r="S178" s="22"/>
      <c r="T178" s="24"/>
      <c r="U178"/>
      <c r="V178"/>
      <c r="W178"/>
      <c r="X178"/>
      <c r="Y178"/>
      <c r="Z178" s="12"/>
      <c r="AA178" s="12"/>
      <c r="AB178" s="12"/>
      <c r="AC178" s="12"/>
      <c r="AD178" s="12"/>
      <c r="AE178" s="12"/>
      <c r="AF178" s="12"/>
      <c r="AG178" s="12"/>
      <c r="AH178" s="12"/>
      <c r="AI178" s="12"/>
    </row>
    <row r="179" spans="1:35" s="10" customFormat="1" x14ac:dyDescent="0.25">
      <c r="A179" s="12"/>
      <c r="B179" s="12"/>
      <c r="C179" s="12"/>
      <c r="D179"/>
      <c r="E179" s="24"/>
      <c r="F179" s="23"/>
      <c r="G179" s="23"/>
      <c r="H179" s="26"/>
      <c r="I179" s="22"/>
      <c r="J179" s="22"/>
      <c r="K179" s="22"/>
      <c r="L179" s="22"/>
      <c r="M179" s="24"/>
      <c r="N179" s="22"/>
      <c r="O179" s="22"/>
      <c r="P179" s="22"/>
      <c r="Q179" s="23"/>
      <c r="R179" s="23"/>
      <c r="S179" s="22"/>
      <c r="T179" s="24"/>
      <c r="U179"/>
      <c r="V179"/>
      <c r="W179"/>
      <c r="X179"/>
      <c r="Y179"/>
      <c r="Z179" s="12"/>
      <c r="AA179" s="12"/>
      <c r="AB179" s="12"/>
      <c r="AC179" s="12"/>
      <c r="AD179" s="12"/>
      <c r="AE179" s="12"/>
      <c r="AF179" s="12"/>
      <c r="AG179" s="12"/>
      <c r="AH179" s="12"/>
      <c r="AI179" s="12"/>
    </row>
    <row r="180" spans="1:35" s="10" customFormat="1" x14ac:dyDescent="0.25">
      <c r="A180" s="12"/>
      <c r="B180" s="12"/>
      <c r="C180" s="12"/>
      <c r="D180"/>
      <c r="E180" s="24"/>
      <c r="F180" s="23"/>
      <c r="G180" s="23"/>
      <c r="H180" s="26"/>
      <c r="I180" s="22"/>
      <c r="J180" s="22"/>
      <c r="K180" s="22"/>
      <c r="L180" s="22"/>
      <c r="M180" s="24"/>
      <c r="N180" s="22"/>
      <c r="O180" s="22"/>
      <c r="P180" s="22"/>
      <c r="Q180" s="23"/>
      <c r="R180" s="23"/>
      <c r="S180" s="22"/>
      <c r="T180" s="24"/>
      <c r="U180"/>
      <c r="V180"/>
      <c r="W180"/>
      <c r="X180"/>
      <c r="Y180"/>
      <c r="Z180" s="12"/>
      <c r="AA180" s="12"/>
      <c r="AB180" s="12"/>
      <c r="AC180" s="12"/>
      <c r="AD180" s="12"/>
      <c r="AE180" s="12"/>
      <c r="AF180" s="12"/>
      <c r="AG180" s="12"/>
      <c r="AH180" s="12"/>
      <c r="AI180" s="12"/>
    </row>
    <row r="181" spans="1:35" s="10" customFormat="1" x14ac:dyDescent="0.25">
      <c r="A181" s="12"/>
      <c r="B181" s="12"/>
      <c r="C181" s="12"/>
      <c r="D181"/>
      <c r="E181" s="24"/>
      <c r="F181" s="23"/>
      <c r="G181" s="23"/>
      <c r="H181" s="26"/>
      <c r="I181" s="22"/>
      <c r="J181" s="22"/>
      <c r="K181" s="22"/>
      <c r="L181" s="22"/>
      <c r="M181" s="24"/>
      <c r="N181" s="22"/>
      <c r="O181" s="22"/>
      <c r="P181" s="22"/>
      <c r="Q181" s="23"/>
      <c r="R181" s="23"/>
      <c r="S181" s="22"/>
      <c r="T181" s="24"/>
      <c r="U181"/>
      <c r="V181"/>
      <c r="W181"/>
      <c r="X181"/>
      <c r="Y181"/>
      <c r="Z181" s="12"/>
      <c r="AA181" s="12"/>
      <c r="AB181" s="12"/>
      <c r="AC181" s="12"/>
      <c r="AD181" s="12"/>
      <c r="AE181" s="12"/>
      <c r="AF181" s="12"/>
      <c r="AG181" s="12"/>
      <c r="AH181" s="12"/>
      <c r="AI181" s="12"/>
    </row>
    <row r="182" spans="1:35" s="10" customFormat="1" x14ac:dyDescent="0.25">
      <c r="A182" s="12"/>
      <c r="B182" s="12"/>
      <c r="C182" s="12"/>
      <c r="D182"/>
      <c r="E182" s="24"/>
      <c r="F182" s="23"/>
      <c r="G182" s="23"/>
      <c r="H182" s="26"/>
      <c r="I182" s="22"/>
      <c r="J182" s="22"/>
      <c r="K182" s="22"/>
      <c r="L182" s="22"/>
      <c r="M182" s="24"/>
      <c r="N182" s="22"/>
      <c r="O182" s="22"/>
      <c r="P182" s="22"/>
      <c r="Q182" s="23"/>
      <c r="R182" s="23"/>
      <c r="S182" s="22"/>
      <c r="T182" s="24"/>
      <c r="U182"/>
      <c r="V182"/>
      <c r="W182"/>
      <c r="X182"/>
      <c r="Y182"/>
      <c r="Z182" s="12"/>
      <c r="AA182" s="12"/>
      <c r="AB182" s="12"/>
      <c r="AC182" s="12"/>
      <c r="AD182" s="12"/>
      <c r="AE182" s="12"/>
      <c r="AF182" s="12"/>
      <c r="AG182" s="12"/>
      <c r="AH182" s="12"/>
      <c r="AI182" s="12"/>
    </row>
    <row r="183" spans="1:35" s="10" customFormat="1" x14ac:dyDescent="0.25">
      <c r="A183" s="12"/>
      <c r="B183" s="12"/>
      <c r="C183" s="12"/>
      <c r="D183"/>
      <c r="E183" s="24"/>
      <c r="F183" s="23"/>
      <c r="G183" s="23"/>
      <c r="H183" s="26"/>
      <c r="I183" s="22"/>
      <c r="J183" s="22"/>
      <c r="K183" s="22"/>
      <c r="L183" s="22"/>
      <c r="M183" s="24"/>
      <c r="N183" s="22"/>
      <c r="O183" s="22"/>
      <c r="P183" s="22"/>
      <c r="Q183" s="23"/>
      <c r="R183" s="23"/>
      <c r="S183" s="22"/>
      <c r="T183" s="24"/>
      <c r="U183"/>
      <c r="V183"/>
      <c r="W183"/>
      <c r="X183"/>
      <c r="Y183"/>
      <c r="Z183" s="12"/>
      <c r="AA183" s="12"/>
      <c r="AB183" s="12"/>
      <c r="AC183" s="12"/>
      <c r="AD183" s="12"/>
      <c r="AE183" s="12"/>
      <c r="AF183" s="12"/>
      <c r="AG183" s="12"/>
      <c r="AH183" s="12"/>
      <c r="AI183" s="12"/>
    </row>
    <row r="184" spans="1:35" s="10" customFormat="1" x14ac:dyDescent="0.25">
      <c r="A184" s="12"/>
      <c r="B184" s="12"/>
      <c r="C184" s="12"/>
      <c r="D184"/>
      <c r="E184" s="24"/>
      <c r="F184" s="23"/>
      <c r="G184" s="23"/>
      <c r="H184" s="26"/>
      <c r="I184" s="22"/>
      <c r="J184" s="22"/>
      <c r="K184" s="22"/>
      <c r="L184" s="22"/>
      <c r="M184" s="24"/>
      <c r="N184" s="22"/>
      <c r="O184" s="22"/>
      <c r="P184" s="22"/>
      <c r="Q184" s="23"/>
      <c r="R184" s="23"/>
      <c r="S184" s="22"/>
      <c r="T184" s="24"/>
      <c r="U184"/>
      <c r="V184"/>
      <c r="W184"/>
      <c r="X184"/>
      <c r="Y184"/>
      <c r="Z184" s="12"/>
      <c r="AA184" s="12"/>
      <c r="AB184" s="12"/>
      <c r="AC184" s="12"/>
      <c r="AD184" s="12"/>
      <c r="AE184" s="12"/>
      <c r="AF184" s="12"/>
      <c r="AG184" s="12"/>
      <c r="AH184" s="12"/>
      <c r="AI184" s="12"/>
    </row>
    <row r="185" spans="1:35" s="10" customFormat="1" x14ac:dyDescent="0.25">
      <c r="A185" s="12"/>
      <c r="B185" s="12"/>
      <c r="C185" s="12"/>
      <c r="D185"/>
      <c r="E185" s="24"/>
      <c r="F185" s="23"/>
      <c r="G185" s="23"/>
      <c r="H185" s="26"/>
      <c r="I185" s="22"/>
      <c r="J185" s="22"/>
      <c r="K185" s="22"/>
      <c r="L185" s="22"/>
      <c r="M185" s="24"/>
      <c r="N185" s="22"/>
      <c r="O185" s="22"/>
      <c r="P185" s="22"/>
      <c r="Q185" s="23"/>
      <c r="R185" s="23"/>
      <c r="S185" s="22"/>
      <c r="T185" s="24"/>
      <c r="U185"/>
      <c r="V185"/>
      <c r="W185"/>
      <c r="X185"/>
      <c r="Y185"/>
      <c r="Z185" s="12"/>
      <c r="AA185" s="12"/>
      <c r="AB185" s="12"/>
      <c r="AC185" s="12"/>
      <c r="AD185" s="12"/>
      <c r="AE185" s="12"/>
      <c r="AF185" s="12"/>
      <c r="AG185" s="12"/>
      <c r="AH185" s="12"/>
      <c r="AI185" s="12"/>
    </row>
    <row r="186" spans="1:35" s="10" customFormat="1" x14ac:dyDescent="0.25">
      <c r="A186" s="12"/>
      <c r="B186" s="12"/>
      <c r="C186" s="12"/>
      <c r="D186"/>
      <c r="E186" s="24"/>
      <c r="F186" s="23"/>
      <c r="G186" s="23"/>
      <c r="H186" s="26"/>
      <c r="I186" s="22"/>
      <c r="J186" s="22"/>
      <c r="K186" s="22"/>
      <c r="L186" s="22"/>
      <c r="M186" s="21"/>
      <c r="N186" s="22"/>
      <c r="O186" s="22"/>
      <c r="P186" s="22"/>
      <c r="Q186" s="22"/>
      <c r="R186" s="28"/>
      <c r="S186" s="22"/>
      <c r="T186" s="20"/>
      <c r="U186"/>
      <c r="V186"/>
      <c r="W186"/>
      <c r="X186"/>
      <c r="Y186"/>
      <c r="Z186" s="12"/>
      <c r="AA186" s="12"/>
      <c r="AB186" s="12"/>
      <c r="AC186" s="12"/>
      <c r="AD186" s="12"/>
      <c r="AE186" s="12"/>
      <c r="AF186" s="12"/>
      <c r="AG186" s="12"/>
      <c r="AH186" s="12"/>
      <c r="AI186" s="12"/>
    </row>
    <row r="187" spans="1:35" s="10" customFormat="1" x14ac:dyDescent="0.25">
      <c r="A187" s="12"/>
      <c r="B187" s="12"/>
      <c r="C187" s="12"/>
      <c r="D187"/>
      <c r="E187" s="24"/>
      <c r="F187" s="23"/>
      <c r="G187" s="22"/>
      <c r="H187" s="22"/>
      <c r="I187" s="22"/>
      <c r="J187" s="22"/>
      <c r="K187" s="22"/>
      <c r="L187" s="22"/>
      <c r="M187" s="21"/>
      <c r="N187" s="22"/>
      <c r="O187" s="22"/>
      <c r="P187" s="22"/>
      <c r="Q187" s="22"/>
      <c r="R187" s="22"/>
      <c r="S187" s="22"/>
      <c r="T187" s="19"/>
      <c r="U187"/>
      <c r="V187"/>
      <c r="W187"/>
      <c r="X187"/>
      <c r="Y187"/>
      <c r="Z187" s="12"/>
      <c r="AA187" s="12"/>
      <c r="AB187" s="12"/>
      <c r="AC187" s="12"/>
      <c r="AD187" s="12"/>
      <c r="AE187" s="12"/>
      <c r="AF187" s="12"/>
      <c r="AG187" s="12"/>
      <c r="AH187" s="12"/>
      <c r="AI187" s="12"/>
    </row>
    <row r="188" spans="1:35" s="10" customFormat="1" x14ac:dyDescent="0.25">
      <c r="A188" s="12"/>
      <c r="B188" s="12"/>
      <c r="C188" s="12"/>
      <c r="D188"/>
      <c r="E188" s="24"/>
      <c r="F188" s="23"/>
      <c r="G188" s="23"/>
      <c r="H188" s="26"/>
      <c r="I188" s="22"/>
      <c r="J188" s="22"/>
      <c r="K188" s="22"/>
      <c r="L188" s="22"/>
      <c r="M188" s="24"/>
      <c r="N188" s="22"/>
      <c r="O188" s="22"/>
      <c r="P188" s="22"/>
      <c r="Q188" s="22"/>
      <c r="R188" s="28"/>
      <c r="S188" s="22"/>
      <c r="T188" s="24"/>
      <c r="U188"/>
      <c r="V188"/>
      <c r="W188"/>
      <c r="X188"/>
      <c r="Y188"/>
      <c r="Z188" s="12"/>
      <c r="AA188" s="12"/>
      <c r="AB188" s="12"/>
      <c r="AC188" s="12"/>
      <c r="AD188" s="12"/>
      <c r="AE188" s="12"/>
      <c r="AF188" s="12"/>
      <c r="AG188" s="12"/>
      <c r="AH188" s="12"/>
      <c r="AI188" s="12"/>
    </row>
    <row r="189" spans="1:35" s="10" customFormat="1" x14ac:dyDescent="0.25">
      <c r="A189" s="12"/>
      <c r="B189" s="12"/>
      <c r="C189" s="12"/>
      <c r="D189"/>
      <c r="E189" s="19"/>
      <c r="F189" s="23"/>
      <c r="G189" s="22"/>
      <c r="H189" s="22"/>
      <c r="I189" s="22"/>
      <c r="J189" s="22"/>
      <c r="K189" s="22"/>
      <c r="L189" s="23"/>
      <c r="M189" s="24"/>
      <c r="N189" s="22"/>
      <c r="O189" s="22"/>
      <c r="P189" s="22"/>
      <c r="Q189" s="22"/>
      <c r="R189" s="28"/>
      <c r="S189" s="22"/>
      <c r="T189" s="24"/>
      <c r="U189"/>
      <c r="V189"/>
      <c r="W189"/>
      <c r="X189"/>
      <c r="Y189"/>
      <c r="Z189" s="12"/>
      <c r="AA189" s="12"/>
      <c r="AB189" s="12"/>
      <c r="AC189" s="12"/>
      <c r="AD189" s="12"/>
      <c r="AE189" s="12"/>
      <c r="AF189" s="12"/>
      <c r="AG189" s="12"/>
      <c r="AH189" s="12"/>
      <c r="AI189" s="12"/>
    </row>
    <row r="190" spans="1:35" s="10" customFormat="1" x14ac:dyDescent="0.25">
      <c r="A190" s="12"/>
      <c r="B190" s="12"/>
      <c r="C190" s="12"/>
      <c r="D190"/>
      <c r="E190" s="19"/>
      <c r="F190" s="23"/>
      <c r="G190" s="22"/>
      <c r="H190" s="22"/>
      <c r="I190" s="22"/>
      <c r="J190" s="22"/>
      <c r="K190" s="22"/>
      <c r="L190" s="23"/>
      <c r="M190" s="24"/>
      <c r="N190" s="22"/>
      <c r="O190" s="22"/>
      <c r="P190" s="22"/>
      <c r="Q190" s="22"/>
      <c r="R190" s="28"/>
      <c r="S190" s="22"/>
      <c r="T190" s="24"/>
      <c r="U190"/>
      <c r="V190"/>
      <c r="W190"/>
      <c r="X190"/>
      <c r="Y190"/>
      <c r="Z190" s="12"/>
      <c r="AA190" s="12"/>
      <c r="AB190" s="12"/>
      <c r="AC190" s="12"/>
      <c r="AD190" s="12"/>
      <c r="AE190" s="12"/>
      <c r="AF190" s="12"/>
      <c r="AG190" s="12"/>
      <c r="AH190" s="12"/>
      <c r="AI190" s="12"/>
    </row>
    <row r="191" spans="1:35" s="10" customFormat="1" x14ac:dyDescent="0.25">
      <c r="A191" s="12"/>
      <c r="B191" s="12"/>
      <c r="C191" s="12"/>
      <c r="D191"/>
      <c r="E191" s="19"/>
      <c r="F191" s="23"/>
      <c r="G191" s="22"/>
      <c r="H191" s="25"/>
      <c r="I191" s="22"/>
      <c r="J191" s="22"/>
      <c r="K191" s="22"/>
      <c r="L191" s="23"/>
      <c r="M191" s="24"/>
      <c r="N191" s="22"/>
      <c r="O191" s="22"/>
      <c r="P191" s="22"/>
      <c r="Q191" s="22"/>
      <c r="R191" s="28"/>
      <c r="S191" s="22"/>
      <c r="T191" s="24"/>
      <c r="U191"/>
      <c r="V191"/>
      <c r="W191"/>
      <c r="X191"/>
      <c r="Y191"/>
      <c r="Z191" s="12"/>
      <c r="AA191" s="12"/>
      <c r="AB191" s="12"/>
      <c r="AC191" s="12"/>
      <c r="AD191" s="12"/>
      <c r="AE191" s="12"/>
      <c r="AF191" s="12"/>
      <c r="AG191" s="12"/>
      <c r="AH191" s="12"/>
      <c r="AI191" s="12"/>
    </row>
    <row r="192" spans="1:35" s="10" customFormat="1" x14ac:dyDescent="0.25">
      <c r="A192" s="12"/>
      <c r="B192" s="12"/>
      <c r="C192" s="12"/>
      <c r="D192"/>
      <c r="E192" s="19"/>
      <c r="F192" s="23"/>
      <c r="G192" s="22"/>
      <c r="H192" s="22"/>
      <c r="I192" s="22"/>
      <c r="J192" s="22"/>
      <c r="K192" s="22"/>
      <c r="L192" s="23"/>
      <c r="M192" s="24"/>
      <c r="N192" s="22"/>
      <c r="O192" s="22"/>
      <c r="P192" s="22"/>
      <c r="Q192" s="22"/>
      <c r="R192" s="28"/>
      <c r="S192" s="22"/>
      <c r="T192" s="24"/>
      <c r="U192"/>
      <c r="V192"/>
      <c r="W192"/>
      <c r="X192"/>
      <c r="Y192"/>
      <c r="Z192" s="12"/>
      <c r="AA192" s="12"/>
      <c r="AB192" s="12"/>
      <c r="AC192" s="12"/>
      <c r="AD192" s="12"/>
      <c r="AE192" s="12"/>
      <c r="AF192" s="12"/>
      <c r="AG192" s="12"/>
      <c r="AH192" s="12"/>
      <c r="AI192" s="12"/>
    </row>
    <row r="193" spans="1:35" s="10" customFormat="1" x14ac:dyDescent="0.25">
      <c r="A193" s="12"/>
      <c r="B193" s="12"/>
      <c r="C193" s="12"/>
      <c r="D193"/>
      <c r="E193" s="19"/>
      <c r="F193" s="23"/>
      <c r="G193" s="22"/>
      <c r="H193" s="22"/>
      <c r="I193" s="22"/>
      <c r="J193" s="22"/>
      <c r="K193" s="22"/>
      <c r="L193" s="23"/>
      <c r="M193" s="24"/>
      <c r="N193" s="22"/>
      <c r="O193" s="22"/>
      <c r="P193" s="22"/>
      <c r="Q193" s="22"/>
      <c r="R193" s="28"/>
      <c r="S193" s="22"/>
      <c r="T193" s="24"/>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2"/>
      <c r="F194" s="23"/>
      <c r="G194" s="22"/>
      <c r="H194" s="22"/>
      <c r="I194" s="22"/>
      <c r="J194" s="22"/>
      <c r="K194" s="22"/>
      <c r="L194" s="23"/>
      <c r="M194" s="24"/>
      <c r="N194" s="22"/>
      <c r="O194" s="22"/>
      <c r="P194" s="22"/>
      <c r="Q194" s="22"/>
      <c r="R194" s="28"/>
      <c r="S194" s="22"/>
      <c r="T194" s="24"/>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22"/>
      <c r="F195" s="23"/>
      <c r="G195" s="22"/>
      <c r="H195" s="22"/>
      <c r="I195" s="22"/>
      <c r="J195" s="22"/>
      <c r="K195" s="22"/>
      <c r="L195" s="23"/>
      <c r="M195" s="24"/>
      <c r="N195" s="22"/>
      <c r="O195" s="22"/>
      <c r="P195" s="22"/>
      <c r="Q195" s="22"/>
      <c r="R195" s="28"/>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22"/>
      <c r="F196" s="23"/>
      <c r="G196" s="22"/>
      <c r="H196" s="22"/>
      <c r="I196" s="22"/>
      <c r="J196" s="22"/>
      <c r="K196" s="22"/>
      <c r="L196" s="23"/>
      <c r="M196" s="24"/>
      <c r="N196" s="22"/>
      <c r="O196" s="22"/>
      <c r="P196" s="22"/>
      <c r="Q196" s="22"/>
      <c r="R196" s="28"/>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24"/>
      <c r="F197" s="23"/>
      <c r="G197" s="23"/>
      <c r="H197" s="23"/>
      <c r="I197" s="22"/>
      <c r="J197" s="22"/>
      <c r="K197" s="22"/>
      <c r="L197" s="22"/>
      <c r="M197" s="24"/>
      <c r="N197" s="22"/>
      <c r="O197" s="22"/>
      <c r="P197" s="22"/>
      <c r="Q197" s="22"/>
      <c r="R197" s="28"/>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24"/>
      <c r="F198" s="23"/>
      <c r="G198" s="23"/>
      <c r="H198" s="23"/>
      <c r="I198" s="22"/>
      <c r="J198" s="22"/>
      <c r="K198" s="22"/>
      <c r="L198" s="22"/>
      <c r="M198" s="24"/>
      <c r="N198" s="22"/>
      <c r="O198" s="22"/>
      <c r="P198" s="22"/>
      <c r="Q198" s="23"/>
      <c r="R198" s="23"/>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24"/>
      <c r="F199" s="23"/>
      <c r="G199" s="23"/>
      <c r="H199" s="23"/>
      <c r="I199" s="22"/>
      <c r="J199" s="22"/>
      <c r="K199" s="22"/>
      <c r="L199" s="22"/>
      <c r="M199" s="24"/>
      <c r="N199" s="22"/>
      <c r="O199" s="22"/>
      <c r="P199" s="22"/>
      <c r="Q199" s="23"/>
      <c r="R199" s="23"/>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24"/>
      <c r="F200" s="23"/>
      <c r="G200" s="23"/>
      <c r="H200" s="26"/>
      <c r="I200" s="22"/>
      <c r="J200" s="22"/>
      <c r="K200" s="22"/>
      <c r="L200" s="22"/>
      <c r="M200" s="24"/>
      <c r="N200" s="22"/>
      <c r="O200" s="22"/>
      <c r="P200" s="22"/>
      <c r="Q200" s="23"/>
      <c r="R200" s="23"/>
      <c r="S200" s="22"/>
      <c r="T200" s="24"/>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24"/>
      <c r="F201" s="23"/>
      <c r="G201" s="23"/>
      <c r="H201" s="26"/>
      <c r="I201" s="22"/>
      <c r="J201" s="22"/>
      <c r="K201" s="22"/>
      <c r="L201" s="22"/>
      <c r="M201" s="24"/>
      <c r="N201" s="22"/>
      <c r="O201" s="22"/>
      <c r="P201" s="22"/>
      <c r="Q201" s="23"/>
      <c r="R201" s="23"/>
      <c r="S201" s="22"/>
      <c r="T201" s="24"/>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4"/>
      <c r="F202" s="23"/>
      <c r="G202" s="23"/>
      <c r="H202" s="26"/>
      <c r="I202" s="22"/>
      <c r="J202" s="22"/>
      <c r="K202" s="22"/>
      <c r="L202" s="22"/>
      <c r="M202" s="24"/>
      <c r="N202" s="22"/>
      <c r="O202" s="22"/>
      <c r="P202" s="22"/>
      <c r="Q202" s="23"/>
      <c r="R202" s="23"/>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24"/>
      <c r="F203" s="23"/>
      <c r="G203" s="23"/>
      <c r="H203" s="26"/>
      <c r="I203" s="22"/>
      <c r="J203" s="22"/>
      <c r="K203" s="22"/>
      <c r="L203" s="22"/>
      <c r="M203" s="24"/>
      <c r="N203" s="22"/>
      <c r="O203" s="22"/>
      <c r="P203" s="22"/>
      <c r="Q203" s="23"/>
      <c r="R203" s="23"/>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24"/>
      <c r="F204" s="23"/>
      <c r="G204" s="23"/>
      <c r="H204" s="26"/>
      <c r="I204" s="22"/>
      <c r="J204" s="22"/>
      <c r="K204" s="22"/>
      <c r="L204" s="22"/>
      <c r="M204" s="24"/>
      <c r="N204" s="22"/>
      <c r="O204" s="22"/>
      <c r="P204" s="22"/>
      <c r="Q204" s="23"/>
      <c r="R204" s="23"/>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24"/>
      <c r="F205" s="23"/>
      <c r="G205" s="23"/>
      <c r="H205" s="26"/>
      <c r="I205" s="22"/>
      <c r="J205" s="22"/>
      <c r="K205" s="22"/>
      <c r="L205" s="22"/>
      <c r="M205" s="24"/>
      <c r="N205" s="22"/>
      <c r="O205" s="22"/>
      <c r="P205" s="22"/>
      <c r="Q205" s="23"/>
      <c r="R205" s="23"/>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24"/>
      <c r="F206" s="23"/>
      <c r="G206" s="23"/>
      <c r="H206" s="26"/>
      <c r="I206" s="22"/>
      <c r="J206" s="22"/>
      <c r="K206" s="22"/>
      <c r="L206" s="22"/>
      <c r="M206" s="24"/>
      <c r="N206" s="22"/>
      <c r="O206" s="22"/>
      <c r="P206" s="22"/>
      <c r="Q206" s="23"/>
      <c r="R206" s="23"/>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24"/>
      <c r="F207" s="23"/>
      <c r="G207" s="23"/>
      <c r="H207" s="26"/>
      <c r="I207" s="22"/>
      <c r="J207" s="22"/>
      <c r="K207" s="22"/>
      <c r="L207" s="22"/>
      <c r="M207" s="21"/>
      <c r="N207" s="22"/>
      <c r="O207" s="22"/>
      <c r="P207" s="22"/>
      <c r="Q207" s="22"/>
      <c r="R207" s="28"/>
      <c r="S207" s="22"/>
      <c r="T207" s="20"/>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4"/>
      <c r="F208" s="23"/>
      <c r="G208" s="22"/>
      <c r="H208" s="22"/>
      <c r="I208" s="22"/>
      <c r="J208" s="22"/>
      <c r="K208" s="22"/>
      <c r="L208" s="22"/>
      <c r="M208" s="21"/>
      <c r="N208" s="22"/>
      <c r="O208" s="22"/>
      <c r="P208" s="22"/>
      <c r="Q208" s="22"/>
      <c r="R208" s="22"/>
      <c r="S208" s="22"/>
      <c r="T208" s="19"/>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4"/>
      <c r="F209" s="23"/>
      <c r="G209" s="23"/>
      <c r="H209" s="26"/>
      <c r="I209" s="22"/>
      <c r="J209" s="22"/>
      <c r="K209" s="22"/>
      <c r="L209" s="22"/>
      <c r="M209" s="24"/>
      <c r="N209" s="22"/>
      <c r="O209" s="22"/>
      <c r="P209" s="22"/>
      <c r="Q209" s="22"/>
      <c r="R209" s="28"/>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19"/>
      <c r="F210" s="23"/>
      <c r="G210" s="22"/>
      <c r="H210" s="22"/>
      <c r="I210" s="22"/>
      <c r="J210" s="22"/>
      <c r="K210" s="22"/>
      <c r="L210" s="23"/>
      <c r="M210" s="24"/>
      <c r="N210" s="22"/>
      <c r="O210" s="22"/>
      <c r="P210" s="22"/>
      <c r="Q210" s="22"/>
      <c r="R210" s="28"/>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19"/>
      <c r="F211" s="23"/>
      <c r="G211" s="22"/>
      <c r="H211" s="22"/>
      <c r="I211" s="22"/>
      <c r="J211" s="22"/>
      <c r="K211" s="22"/>
      <c r="L211" s="23"/>
      <c r="M211" s="24"/>
      <c r="N211" s="22"/>
      <c r="O211" s="22"/>
      <c r="P211" s="22"/>
      <c r="Q211" s="22"/>
      <c r="R211" s="28"/>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19"/>
      <c r="F212" s="23"/>
      <c r="G212" s="22"/>
      <c r="H212" s="25"/>
      <c r="I212" s="22"/>
      <c r="J212" s="22"/>
      <c r="K212" s="22"/>
      <c r="L212" s="23"/>
      <c r="M212" s="24"/>
      <c r="N212" s="22"/>
      <c r="O212" s="22"/>
      <c r="P212" s="22"/>
      <c r="Q212" s="22"/>
      <c r="R212" s="28"/>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19"/>
      <c r="F213" s="23"/>
      <c r="G213" s="22"/>
      <c r="H213" s="22"/>
      <c r="I213" s="22"/>
      <c r="J213" s="22"/>
      <c r="K213" s="22"/>
      <c r="L213" s="23"/>
      <c r="M213" s="24"/>
      <c r="N213" s="22"/>
      <c r="O213" s="22"/>
      <c r="P213" s="22"/>
      <c r="Q213" s="22"/>
      <c r="R213" s="28"/>
      <c r="S213" s="22"/>
      <c r="T213" s="24"/>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19"/>
      <c r="F214" s="23"/>
      <c r="G214" s="22"/>
      <c r="H214" s="22"/>
      <c r="I214" s="22"/>
      <c r="J214" s="22"/>
      <c r="K214" s="22"/>
      <c r="L214" s="23"/>
      <c r="M214" s="24"/>
      <c r="N214" s="22"/>
      <c r="O214" s="22"/>
      <c r="P214" s="22"/>
      <c r="Q214" s="22"/>
      <c r="R214" s="28"/>
      <c r="S214" s="22"/>
      <c r="T214" s="24"/>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2"/>
      <c r="F215" s="23"/>
      <c r="G215" s="22"/>
      <c r="H215" s="22"/>
      <c r="I215" s="22"/>
      <c r="J215" s="22"/>
      <c r="K215" s="22"/>
      <c r="L215" s="23"/>
      <c r="M215" s="24"/>
      <c r="N215" s="22"/>
      <c r="O215" s="22"/>
      <c r="P215" s="22"/>
      <c r="Q215" s="22"/>
      <c r="R215" s="28"/>
      <c r="S215" s="22"/>
      <c r="T215" s="24"/>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22"/>
      <c r="F216" s="23"/>
      <c r="G216" s="22"/>
      <c r="H216" s="22"/>
      <c r="I216" s="22"/>
      <c r="J216" s="22"/>
      <c r="K216" s="22"/>
      <c r="L216" s="23"/>
      <c r="M216" s="24"/>
      <c r="N216" s="22"/>
      <c r="O216" s="22"/>
      <c r="P216" s="22"/>
      <c r="Q216" s="22"/>
      <c r="R216" s="28"/>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22"/>
      <c r="F217" s="23"/>
      <c r="G217" s="22"/>
      <c r="H217" s="22"/>
      <c r="I217" s="22"/>
      <c r="J217" s="22"/>
      <c r="K217" s="22"/>
      <c r="L217" s="23"/>
      <c r="M217" s="24"/>
      <c r="N217" s="22"/>
      <c r="O217" s="22"/>
      <c r="P217" s="22"/>
      <c r="Q217" s="22"/>
      <c r="R217" s="28"/>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24"/>
      <c r="F218" s="23"/>
      <c r="G218" s="23"/>
      <c r="H218" s="23"/>
      <c r="I218" s="22"/>
      <c r="J218" s="22"/>
      <c r="K218" s="22"/>
      <c r="L218" s="22"/>
      <c r="M218" s="24"/>
      <c r="N218" s="22"/>
      <c r="O218" s="22"/>
      <c r="P218" s="22"/>
      <c r="Q218" s="22"/>
      <c r="R218" s="28"/>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24"/>
      <c r="F219" s="23"/>
      <c r="G219" s="23"/>
      <c r="H219" s="23"/>
      <c r="I219" s="22"/>
      <c r="J219" s="22"/>
      <c r="K219" s="22"/>
      <c r="L219" s="22"/>
      <c r="M219" s="24"/>
      <c r="N219" s="22"/>
      <c r="O219" s="22"/>
      <c r="P219" s="22"/>
      <c r="Q219" s="23"/>
      <c r="R219" s="23"/>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24"/>
      <c r="F220" s="23"/>
      <c r="G220" s="23"/>
      <c r="H220" s="23"/>
      <c r="I220" s="22"/>
      <c r="J220" s="22"/>
      <c r="K220" s="22"/>
      <c r="L220" s="22"/>
      <c r="M220" s="24"/>
      <c r="N220" s="22"/>
      <c r="O220" s="22"/>
      <c r="P220" s="22"/>
      <c r="Q220" s="23"/>
      <c r="R220" s="23"/>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24"/>
      <c r="F221" s="23"/>
      <c r="G221" s="23"/>
      <c r="H221" s="26"/>
      <c r="I221" s="22"/>
      <c r="J221" s="22"/>
      <c r="K221" s="22"/>
      <c r="L221" s="22"/>
      <c r="M221" s="24"/>
      <c r="N221" s="22"/>
      <c r="O221" s="22"/>
      <c r="P221" s="22"/>
      <c r="Q221" s="23"/>
      <c r="R221" s="23"/>
      <c r="S221" s="22"/>
      <c r="T221" s="24"/>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4"/>
      <c r="F222" s="23"/>
      <c r="G222" s="23"/>
      <c r="H222" s="26"/>
      <c r="I222" s="22"/>
      <c r="J222" s="22"/>
      <c r="K222" s="22"/>
      <c r="L222" s="22"/>
      <c r="M222" s="24"/>
      <c r="N222" s="22"/>
      <c r="O222" s="22"/>
      <c r="P222" s="22"/>
      <c r="Q222" s="23"/>
      <c r="R222" s="23"/>
      <c r="S222" s="22"/>
      <c r="T222" s="24"/>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4"/>
      <c r="F223" s="23"/>
      <c r="G223" s="23"/>
      <c r="H223" s="26"/>
      <c r="I223" s="22"/>
      <c r="J223" s="22"/>
      <c r="K223" s="22"/>
      <c r="L223" s="22"/>
      <c r="M223" s="24"/>
      <c r="N223" s="22"/>
      <c r="O223" s="22"/>
      <c r="P223" s="22"/>
      <c r="Q223" s="23"/>
      <c r="R223" s="23"/>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24"/>
      <c r="F224" s="23"/>
      <c r="G224" s="23"/>
      <c r="H224" s="26"/>
      <c r="I224" s="22"/>
      <c r="J224" s="22"/>
      <c r="K224" s="22"/>
      <c r="L224" s="22"/>
      <c r="M224" s="24"/>
      <c r="N224" s="22"/>
      <c r="O224" s="22"/>
      <c r="P224" s="22"/>
      <c r="Q224" s="23"/>
      <c r="R224" s="23"/>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24"/>
      <c r="F225" s="23"/>
      <c r="G225" s="23"/>
      <c r="H225" s="26"/>
      <c r="I225" s="22"/>
      <c r="J225" s="22"/>
      <c r="K225" s="22"/>
      <c r="L225" s="22"/>
      <c r="M225" s="24"/>
      <c r="N225" s="22"/>
      <c r="O225" s="22"/>
      <c r="P225" s="22"/>
      <c r="Q225" s="23"/>
      <c r="R225" s="23"/>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24"/>
      <c r="F226" s="23"/>
      <c r="G226" s="23"/>
      <c r="H226" s="26"/>
      <c r="I226" s="22"/>
      <c r="J226" s="22"/>
      <c r="K226" s="22"/>
      <c r="L226" s="22"/>
      <c r="M226" s="24"/>
      <c r="N226" s="22"/>
      <c r="O226" s="22"/>
      <c r="P226" s="22"/>
      <c r="Q226" s="23"/>
      <c r="R226" s="23"/>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24"/>
      <c r="F227" s="23"/>
      <c r="G227" s="23"/>
      <c r="H227" s="26"/>
      <c r="I227" s="22"/>
      <c r="J227" s="22"/>
      <c r="K227" s="22"/>
      <c r="L227" s="22"/>
      <c r="M227" s="24"/>
      <c r="N227" s="22"/>
      <c r="O227" s="22"/>
      <c r="P227" s="22"/>
      <c r="Q227" s="23"/>
      <c r="R227" s="23"/>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24"/>
      <c r="F228" s="23"/>
      <c r="G228" s="23"/>
      <c r="H228" s="26"/>
      <c r="I228" s="22"/>
      <c r="J228" s="22"/>
      <c r="K228" s="22"/>
      <c r="L228" s="22"/>
      <c r="M228" s="21"/>
      <c r="N228" s="22"/>
      <c r="O228" s="22"/>
      <c r="P228" s="22"/>
      <c r="Q228" s="22"/>
      <c r="R228" s="28"/>
      <c r="S228" s="22"/>
      <c r="T228" s="20"/>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4"/>
      <c r="F229" s="23"/>
      <c r="G229" s="22"/>
      <c r="H229" s="22"/>
      <c r="I229" s="22"/>
      <c r="J229" s="22"/>
      <c r="K229" s="22"/>
      <c r="L229" s="22"/>
      <c r="M229" s="21"/>
      <c r="N229" s="22"/>
      <c r="O229" s="22"/>
      <c r="P229" s="22"/>
      <c r="Q229" s="22"/>
      <c r="R229" s="22"/>
      <c r="S229" s="22"/>
      <c r="T229" s="19"/>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4"/>
      <c r="F230" s="23"/>
      <c r="G230" s="23"/>
      <c r="H230" s="26"/>
      <c r="I230" s="22"/>
      <c r="J230" s="22"/>
      <c r="K230" s="22"/>
      <c r="L230" s="22"/>
      <c r="M230" s="24"/>
      <c r="N230" s="22"/>
      <c r="O230" s="22"/>
      <c r="P230" s="22"/>
      <c r="Q230" s="22"/>
      <c r="R230" s="28"/>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19"/>
      <c r="F231" s="23"/>
      <c r="G231" s="22"/>
      <c r="H231" s="22"/>
      <c r="I231" s="22"/>
      <c r="J231" s="22"/>
      <c r="K231" s="22"/>
      <c r="L231" s="23"/>
      <c r="M231" s="24"/>
      <c r="N231" s="22"/>
      <c r="O231" s="22"/>
      <c r="P231" s="22"/>
      <c r="Q231" s="22"/>
      <c r="R231" s="28"/>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19"/>
      <c r="F232" s="23"/>
      <c r="G232" s="22"/>
      <c r="H232" s="22"/>
      <c r="I232" s="22"/>
      <c r="J232" s="22"/>
      <c r="K232" s="22"/>
      <c r="L232" s="23"/>
      <c r="M232" s="24"/>
      <c r="N232" s="22"/>
      <c r="O232" s="22"/>
      <c r="P232" s="22"/>
      <c r="Q232" s="22"/>
      <c r="R232" s="28"/>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19"/>
      <c r="F233" s="23"/>
      <c r="G233" s="22"/>
      <c r="H233" s="25"/>
      <c r="I233" s="22"/>
      <c r="J233" s="22"/>
      <c r="K233" s="22"/>
      <c r="L233" s="23"/>
      <c r="M233" s="24"/>
      <c r="N233" s="22"/>
      <c r="O233" s="22"/>
      <c r="P233" s="22"/>
      <c r="Q233" s="22"/>
      <c r="R233" s="28"/>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19"/>
      <c r="F234" s="23"/>
      <c r="G234" s="22"/>
      <c r="H234" s="22"/>
      <c r="I234" s="22"/>
      <c r="J234" s="22"/>
      <c r="K234" s="22"/>
      <c r="L234" s="23"/>
      <c r="M234" s="24"/>
      <c r="N234" s="22"/>
      <c r="O234" s="22"/>
      <c r="P234" s="22"/>
      <c r="Q234" s="22"/>
      <c r="R234" s="28"/>
      <c r="S234" s="22"/>
      <c r="T234" s="24"/>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19"/>
      <c r="F235" s="23"/>
      <c r="G235" s="22"/>
      <c r="H235" s="22"/>
      <c r="I235" s="22"/>
      <c r="J235" s="22"/>
      <c r="K235" s="22"/>
      <c r="L235" s="23"/>
      <c r="M235" s="24"/>
      <c r="N235" s="22"/>
      <c r="O235" s="22"/>
      <c r="P235" s="22"/>
      <c r="Q235" s="22"/>
      <c r="R235" s="28"/>
      <c r="S235" s="22"/>
      <c r="T235" s="24"/>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2"/>
      <c r="F236" s="23"/>
      <c r="G236" s="22"/>
      <c r="H236" s="22"/>
      <c r="I236" s="22"/>
      <c r="J236" s="22"/>
      <c r="K236" s="22"/>
      <c r="L236" s="23"/>
      <c r="M236" s="24"/>
      <c r="N236" s="22"/>
      <c r="O236" s="22"/>
      <c r="P236" s="22"/>
      <c r="Q236" s="22"/>
      <c r="R236" s="28"/>
      <c r="S236" s="22"/>
      <c r="T236" s="24"/>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22"/>
      <c r="F237" s="23"/>
      <c r="G237" s="22"/>
      <c r="H237" s="22"/>
      <c r="I237" s="22"/>
      <c r="J237" s="22"/>
      <c r="K237" s="22"/>
      <c r="L237" s="23"/>
      <c r="M237" s="24"/>
      <c r="N237" s="22"/>
      <c r="O237" s="22"/>
      <c r="P237" s="22"/>
      <c r="Q237" s="22"/>
      <c r="R237" s="28"/>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22"/>
      <c r="F238" s="23"/>
      <c r="G238" s="22"/>
      <c r="H238" s="22"/>
      <c r="I238" s="22"/>
      <c r="J238" s="22"/>
      <c r="K238" s="22"/>
      <c r="L238" s="23"/>
      <c r="M238" s="24"/>
      <c r="N238" s="22"/>
      <c r="O238" s="22"/>
      <c r="P238" s="22"/>
      <c r="Q238" s="22"/>
      <c r="R238" s="28"/>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24"/>
      <c r="F239" s="23"/>
      <c r="G239" s="23"/>
      <c r="H239" s="23"/>
      <c r="I239" s="22"/>
      <c r="J239" s="22"/>
      <c r="K239" s="22"/>
      <c r="L239" s="22"/>
      <c r="M239" s="24"/>
      <c r="N239" s="22"/>
      <c r="O239" s="22"/>
      <c r="P239" s="22"/>
      <c r="Q239" s="22"/>
      <c r="R239" s="28"/>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24"/>
      <c r="F240" s="23"/>
      <c r="G240" s="23"/>
      <c r="H240" s="23"/>
      <c r="I240" s="22"/>
      <c r="J240" s="22"/>
      <c r="K240" s="22"/>
      <c r="L240" s="22"/>
      <c r="M240" s="24"/>
      <c r="N240" s="22"/>
      <c r="O240" s="22"/>
      <c r="P240" s="22"/>
      <c r="Q240" s="23"/>
      <c r="R240" s="23"/>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24"/>
      <c r="F241" s="23"/>
      <c r="G241" s="23"/>
      <c r="H241" s="23"/>
      <c r="I241" s="22"/>
      <c r="J241" s="22"/>
      <c r="K241" s="22"/>
      <c r="L241" s="22"/>
      <c r="M241" s="24"/>
      <c r="N241" s="22"/>
      <c r="O241" s="22"/>
      <c r="P241" s="22"/>
      <c r="Q241" s="23"/>
      <c r="R241" s="23"/>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24"/>
      <c r="F242" s="23"/>
      <c r="G242" s="23"/>
      <c r="H242" s="26"/>
      <c r="I242" s="22"/>
      <c r="J242" s="22"/>
      <c r="K242" s="22"/>
      <c r="L242" s="22"/>
      <c r="M242" s="24"/>
      <c r="N242" s="22"/>
      <c r="O242" s="22"/>
      <c r="P242" s="22"/>
      <c r="Q242" s="23"/>
      <c r="R242" s="23"/>
      <c r="S242" s="22"/>
      <c r="T242" s="24"/>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24"/>
      <c r="F243" s="23"/>
      <c r="G243" s="23"/>
      <c r="H243" s="26"/>
      <c r="I243" s="22"/>
      <c r="J243" s="22"/>
      <c r="K243" s="22"/>
      <c r="L243" s="22"/>
      <c r="M243" s="24"/>
      <c r="N243" s="22"/>
      <c r="O243" s="22"/>
      <c r="P243" s="22"/>
      <c r="Q243" s="23"/>
      <c r="R243" s="23"/>
      <c r="S243" s="22"/>
      <c r="T243" s="24"/>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4"/>
      <c r="F244" s="23"/>
      <c r="G244" s="23"/>
      <c r="H244" s="26"/>
      <c r="I244" s="22"/>
      <c r="J244" s="22"/>
      <c r="K244" s="22"/>
      <c r="L244" s="22"/>
      <c r="M244" s="24"/>
      <c r="N244" s="22"/>
      <c r="O244" s="22"/>
      <c r="P244" s="22"/>
      <c r="Q244" s="23"/>
      <c r="R244" s="23"/>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24"/>
      <c r="F245" s="23"/>
      <c r="G245" s="23"/>
      <c r="H245" s="26"/>
      <c r="I245" s="22"/>
      <c r="J245" s="22"/>
      <c r="K245" s="22"/>
      <c r="L245" s="22"/>
      <c r="M245" s="24"/>
      <c r="N245" s="22"/>
      <c r="O245" s="22"/>
      <c r="P245" s="22"/>
      <c r="Q245" s="23"/>
      <c r="R245" s="23"/>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24"/>
      <c r="F246" s="23"/>
      <c r="G246" s="23"/>
      <c r="H246" s="26"/>
      <c r="I246" s="22"/>
      <c r="J246" s="22"/>
      <c r="K246" s="22"/>
      <c r="L246" s="22"/>
      <c r="M246" s="24"/>
      <c r="N246" s="22"/>
      <c r="O246" s="22"/>
      <c r="P246" s="22"/>
      <c r="Q246" s="23"/>
      <c r="R246" s="23"/>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24"/>
      <c r="F247" s="23"/>
      <c r="G247" s="23"/>
      <c r="H247" s="26"/>
      <c r="I247" s="22"/>
      <c r="J247" s="22"/>
      <c r="K247" s="22"/>
      <c r="L247" s="22"/>
      <c r="M247" s="24"/>
      <c r="N247" s="22"/>
      <c r="O247" s="22"/>
      <c r="P247" s="22"/>
      <c r="Q247" s="23"/>
      <c r="R247" s="23"/>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24"/>
      <c r="F248" s="23"/>
      <c r="G248" s="23"/>
      <c r="H248" s="26"/>
      <c r="I248" s="22"/>
      <c r="J248" s="22"/>
      <c r="K248" s="22"/>
      <c r="L248" s="22"/>
      <c r="M248" s="24"/>
      <c r="N248" s="22"/>
      <c r="O248" s="22"/>
      <c r="P248" s="22"/>
      <c r="Q248" s="23"/>
      <c r="R248" s="23"/>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24"/>
      <c r="F249" s="23"/>
      <c r="G249" s="23"/>
      <c r="H249" s="26"/>
      <c r="I249" s="22"/>
      <c r="J249" s="22"/>
      <c r="K249" s="22"/>
      <c r="L249" s="22"/>
      <c r="M249" s="21"/>
      <c r="N249" s="22"/>
      <c r="O249" s="22"/>
      <c r="P249" s="22"/>
      <c r="Q249" s="22"/>
      <c r="R249" s="28"/>
      <c r="S249" s="22"/>
      <c r="T249" s="20"/>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c r="F250"/>
      <c r="G250"/>
      <c r="H250"/>
      <c r="I250"/>
      <c r="J250"/>
      <c r="K250"/>
      <c r="L250"/>
      <c r="M250"/>
      <c r="N250"/>
      <c r="O250"/>
      <c r="P250"/>
      <c r="Q250"/>
      <c r="R250"/>
      <c r="S250"/>
      <c r="T250"/>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c r="F251"/>
      <c r="G251"/>
      <c r="H251"/>
      <c r="I251"/>
      <c r="J251"/>
      <c r="K251"/>
      <c r="L251"/>
      <c r="M251"/>
      <c r="N251"/>
      <c r="O251"/>
      <c r="P251"/>
      <c r="Q251"/>
      <c r="R251"/>
      <c r="S251"/>
      <c r="T251"/>
      <c r="U251"/>
      <c r="V251"/>
      <c r="W251"/>
      <c r="X251"/>
      <c r="Y251" s="12"/>
      <c r="Z251" s="12"/>
      <c r="AA251" s="12"/>
      <c r="AB251" s="12"/>
      <c r="AC251" s="12"/>
      <c r="AD251" s="12"/>
      <c r="AE251" s="12"/>
      <c r="AF251" s="12"/>
      <c r="AG251" s="12"/>
      <c r="AH251" s="12"/>
      <c r="AI251" s="12"/>
    </row>
    <row r="252" spans="1:35" s="10" customFormat="1" x14ac:dyDescent="0.25">
      <c r="A252" s="12"/>
      <c r="B252" s="12"/>
      <c r="C252" s="12"/>
      <c r="D252"/>
      <c r="E252"/>
      <c r="F252"/>
      <c r="G252"/>
      <c r="H252"/>
      <c r="I252"/>
      <c r="J252"/>
      <c r="K252"/>
      <c r="L252"/>
      <c r="M252"/>
      <c r="N252"/>
      <c r="O252"/>
      <c r="P252"/>
      <c r="Q252"/>
      <c r="R252"/>
      <c r="S252"/>
      <c r="T252"/>
      <c r="U252"/>
      <c r="V252"/>
      <c r="W252"/>
      <c r="X252"/>
      <c r="Y252" s="12"/>
      <c r="Z252" s="12"/>
      <c r="AA252" s="12"/>
      <c r="AB252" s="12"/>
      <c r="AC252" s="12"/>
      <c r="AD252" s="12"/>
      <c r="AE252" s="12"/>
      <c r="AF252" s="12"/>
      <c r="AG252" s="12"/>
      <c r="AH252" s="12"/>
      <c r="AI252" s="12"/>
    </row>
    <row r="253" spans="1:35" s="10" customFormat="1" x14ac:dyDescent="0.25">
      <c r="A253" s="12"/>
      <c r="B253" s="12"/>
      <c r="C253" s="12"/>
      <c r="D253"/>
      <c r="E253"/>
      <c r="F253"/>
      <c r="G253"/>
      <c r="H253"/>
      <c r="I253"/>
      <c r="J253"/>
      <c r="K253"/>
      <c r="L253"/>
      <c r="M253"/>
      <c r="N253"/>
      <c r="O253"/>
      <c r="P253"/>
      <c r="Q253"/>
      <c r="R253"/>
      <c r="S253"/>
      <c r="T253"/>
      <c r="U253"/>
      <c r="V253"/>
      <c r="W253"/>
      <c r="X253"/>
      <c r="Y253" s="12"/>
      <c r="Z253" s="12"/>
      <c r="AA253" s="12"/>
      <c r="AB253" s="12"/>
      <c r="AC253" s="12"/>
      <c r="AD253" s="12"/>
      <c r="AE253" s="12"/>
      <c r="AF253" s="12"/>
      <c r="AG253" s="12"/>
      <c r="AH253" s="12"/>
      <c r="AI253" s="12"/>
    </row>
    <row r="254" spans="1:35" s="10" customFormat="1" x14ac:dyDescent="0.25">
      <c r="A254" s="12"/>
      <c r="B254" s="12"/>
      <c r="C254" s="12"/>
      <c r="D254"/>
      <c r="E254"/>
      <c r="F254"/>
      <c r="G254"/>
      <c r="H254"/>
      <c r="I254"/>
      <c r="J254"/>
      <c r="K254"/>
      <c r="L254"/>
      <c r="M254"/>
      <c r="N254"/>
      <c r="O254"/>
      <c r="P254"/>
      <c r="Q254"/>
      <c r="R254"/>
      <c r="S254"/>
      <c r="T254"/>
      <c r="U254"/>
      <c r="V254"/>
      <c r="W254"/>
      <c r="X254"/>
      <c r="Y254" s="12"/>
      <c r="Z254" s="12"/>
      <c r="AA254" s="12"/>
      <c r="AB254" s="12"/>
      <c r="AC254" s="12"/>
      <c r="AD254" s="12"/>
      <c r="AE254" s="12"/>
      <c r="AF254" s="12"/>
      <c r="AG254" s="12"/>
      <c r="AH254" s="12"/>
      <c r="AI254" s="12"/>
    </row>
    <row r="255" spans="1:35" s="10" customFormat="1" x14ac:dyDescent="0.25">
      <c r="A255" s="12"/>
      <c r="B255" s="12"/>
      <c r="C255" s="12"/>
      <c r="D255"/>
      <c r="E255"/>
      <c r="F255"/>
      <c r="G255"/>
      <c r="H255"/>
      <c r="I255"/>
      <c r="J255"/>
      <c r="K255"/>
      <c r="L255"/>
      <c r="M255"/>
      <c r="N255"/>
      <c r="O255"/>
      <c r="P255"/>
      <c r="Q255"/>
      <c r="R255"/>
      <c r="S255"/>
      <c r="T255"/>
      <c r="U255"/>
      <c r="V255"/>
      <c r="W255"/>
      <c r="X255"/>
      <c r="Y255" s="12"/>
      <c r="Z255" s="12"/>
      <c r="AA255" s="12"/>
      <c r="AB255" s="12"/>
      <c r="AC255" s="12"/>
      <c r="AD255" s="12"/>
      <c r="AE255" s="12"/>
      <c r="AF255" s="12"/>
      <c r="AG255" s="12"/>
      <c r="AH255" s="12"/>
      <c r="AI255" s="12"/>
    </row>
    <row r="256" spans="1:35" s="10" customFormat="1" x14ac:dyDescent="0.25">
      <c r="A256" s="12"/>
      <c r="B256" s="12"/>
      <c r="C256" s="12"/>
      <c r="D256"/>
      <c r="E256"/>
      <c r="F256"/>
      <c r="G256"/>
      <c r="H256"/>
      <c r="I256"/>
      <c r="J256"/>
      <c r="K256"/>
      <c r="L256"/>
      <c r="M256"/>
      <c r="N256"/>
      <c r="O256"/>
      <c r="P256"/>
      <c r="Q256"/>
      <c r="R256"/>
      <c r="S256"/>
      <c r="T256"/>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c r="F257"/>
      <c r="G257"/>
      <c r="H257"/>
      <c r="I257"/>
      <c r="J257"/>
      <c r="K257"/>
      <c r="L257"/>
      <c r="M257"/>
      <c r="N257"/>
      <c r="O257"/>
      <c r="P257"/>
      <c r="Q257"/>
      <c r="R257"/>
      <c r="S257"/>
      <c r="T257"/>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c r="F258"/>
      <c r="G258"/>
      <c r="H258"/>
      <c r="I258"/>
      <c r="J258"/>
      <c r="K258"/>
      <c r="L258"/>
      <c r="M258"/>
      <c r="N258"/>
      <c r="O258"/>
      <c r="P258"/>
      <c r="Q258"/>
      <c r="R258"/>
      <c r="S258"/>
      <c r="T258"/>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c r="F259"/>
      <c r="G259"/>
      <c r="H259"/>
      <c r="I259"/>
      <c r="J259"/>
      <c r="K259"/>
      <c r="L259"/>
      <c r="M259"/>
      <c r="N259"/>
      <c r="O259"/>
      <c r="P259"/>
      <c r="Q259"/>
      <c r="R259"/>
      <c r="S259"/>
      <c r="T259"/>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c r="F260"/>
      <c r="G260"/>
      <c r="H260"/>
      <c r="I260"/>
      <c r="J260"/>
      <c r="K260"/>
      <c r="L260"/>
      <c r="M260"/>
      <c r="N260"/>
      <c r="O260"/>
      <c r="P260"/>
      <c r="Q260"/>
      <c r="R260"/>
      <c r="S260"/>
      <c r="T260"/>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c r="F261"/>
      <c r="G261"/>
      <c r="H261"/>
      <c r="I261"/>
      <c r="J261"/>
      <c r="K261"/>
      <c r="L261"/>
      <c r="M261"/>
      <c r="N261"/>
      <c r="O261"/>
      <c r="P261"/>
      <c r="Q261"/>
      <c r="R261"/>
      <c r="S261"/>
      <c r="T261"/>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c r="F262"/>
      <c r="G262"/>
      <c r="H262"/>
      <c r="I262"/>
      <c r="J262"/>
      <c r="K262"/>
      <c r="L262"/>
      <c r="M262"/>
      <c r="N262"/>
      <c r="O262"/>
      <c r="P262"/>
      <c r="Q262"/>
      <c r="R262"/>
      <c r="S262"/>
      <c r="T262"/>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c r="F263"/>
      <c r="G263"/>
      <c r="H263"/>
      <c r="I263"/>
      <c r="J263"/>
      <c r="K263"/>
      <c r="L263"/>
      <c r="M263"/>
      <c r="N263"/>
      <c r="O263"/>
      <c r="P263"/>
      <c r="Q263"/>
      <c r="R263"/>
      <c r="S263"/>
      <c r="T263"/>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c r="F264"/>
      <c r="G264"/>
      <c r="H264"/>
      <c r="I264"/>
      <c r="J264"/>
      <c r="K264"/>
      <c r="L264"/>
      <c r="M264"/>
      <c r="N264"/>
      <c r="O264"/>
      <c r="P264"/>
      <c r="Q264"/>
      <c r="R264"/>
      <c r="S264"/>
      <c r="T26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c r="F265"/>
      <c r="G265"/>
      <c r="H265"/>
      <c r="I265"/>
      <c r="J265"/>
      <c r="K265"/>
      <c r="L265"/>
      <c r="M265"/>
      <c r="N265"/>
      <c r="O265"/>
      <c r="P265"/>
      <c r="Q265"/>
      <c r="R265"/>
      <c r="S265"/>
      <c r="T265"/>
      <c r="U265"/>
      <c r="V265"/>
      <c r="W265"/>
      <c r="X265"/>
      <c r="Y265"/>
      <c r="Z265" s="12"/>
      <c r="AA265" s="12"/>
      <c r="AB265" s="12"/>
      <c r="AC265" s="12"/>
      <c r="AD265" s="12"/>
      <c r="AE265" s="12"/>
      <c r="AF265" s="12"/>
      <c r="AG265" s="12"/>
      <c r="AH265" s="12"/>
      <c r="AI265" s="12"/>
    </row>
    <row r="266" spans="1:35" s="10" customFormat="1" x14ac:dyDescent="0.25">
      <c r="A266" s="12"/>
      <c r="B266" s="12"/>
      <c r="C266" s="12"/>
      <c r="D266"/>
      <c r="E266"/>
      <c r="F266"/>
      <c r="G266"/>
      <c r="H266"/>
      <c r="I266"/>
      <c r="J266"/>
      <c r="K266"/>
      <c r="L266"/>
      <c r="M266"/>
      <c r="N266"/>
      <c r="O266"/>
      <c r="P266"/>
      <c r="Q266"/>
      <c r="R266"/>
      <c r="S266"/>
      <c r="T266"/>
      <c r="U266"/>
      <c r="V266"/>
      <c r="W266"/>
      <c r="X266"/>
      <c r="Y266"/>
      <c r="Z266" s="12"/>
      <c r="AA266" s="12"/>
      <c r="AB266" s="12"/>
      <c r="AC266" s="12"/>
      <c r="AD266" s="12"/>
      <c r="AE266" s="12"/>
      <c r="AF266" s="12"/>
      <c r="AG266" s="12"/>
      <c r="AH266" s="12"/>
      <c r="AI266" s="12"/>
    </row>
    <row r="267" spans="1:35" s="10" customFormat="1" x14ac:dyDescent="0.25">
      <c r="A267" s="12"/>
      <c r="B267" s="12"/>
      <c r="C267" s="12"/>
      <c r="D267"/>
      <c r="E267"/>
      <c r="F267"/>
      <c r="G267"/>
      <c r="H267"/>
      <c r="I267"/>
      <c r="J267"/>
      <c r="K267"/>
      <c r="L267"/>
      <c r="M267"/>
      <c r="N267"/>
      <c r="O267"/>
      <c r="P267"/>
      <c r="Q267"/>
      <c r="R267"/>
      <c r="S267"/>
      <c r="T267"/>
      <c r="U267"/>
      <c r="V267"/>
      <c r="W267"/>
      <c r="X267"/>
      <c r="Y267"/>
      <c r="Z267" s="12"/>
      <c r="AA267" s="12"/>
      <c r="AB267" s="12"/>
      <c r="AC267" s="12"/>
      <c r="AD267" s="12"/>
      <c r="AE267" s="12"/>
      <c r="AF267" s="12"/>
      <c r="AG267" s="12"/>
      <c r="AH267" s="12"/>
      <c r="AI267" s="12"/>
    </row>
    <row r="268" spans="1:35" s="10" customFormat="1" x14ac:dyDescent="0.25">
      <c r="A268" s="12"/>
      <c r="B268" s="12"/>
      <c r="C268" s="12"/>
      <c r="D268"/>
      <c r="E268"/>
      <c r="F268"/>
      <c r="G268"/>
      <c r="H268"/>
      <c r="I268"/>
      <c r="J268"/>
      <c r="K268"/>
      <c r="L268"/>
      <c r="M268"/>
      <c r="N268"/>
      <c r="O268"/>
      <c r="P268"/>
      <c r="Q268"/>
      <c r="R268"/>
      <c r="S268"/>
      <c r="T268"/>
      <c r="U268"/>
      <c r="V268"/>
      <c r="W268"/>
      <c r="X268"/>
      <c r="Y268"/>
      <c r="Z268" s="12"/>
      <c r="AA268" s="12"/>
      <c r="AB268" s="12"/>
      <c r="AC268" s="12"/>
      <c r="AD268" s="12"/>
      <c r="AE268" s="12"/>
      <c r="AF268" s="12"/>
      <c r="AG268" s="12"/>
      <c r="AH268" s="12"/>
      <c r="AI268" s="12"/>
    </row>
    <row r="269" spans="1:35" s="10" customFormat="1" x14ac:dyDescent="0.25">
      <c r="A269" s="12"/>
      <c r="B269" s="12"/>
      <c r="C269" s="12"/>
      <c r="D269"/>
      <c r="E269"/>
      <c r="F269"/>
      <c r="G269"/>
      <c r="H269"/>
      <c r="I269"/>
      <c r="J269"/>
      <c r="K269"/>
      <c r="L269"/>
      <c r="M269"/>
      <c r="N269"/>
      <c r="O269"/>
      <c r="P269"/>
      <c r="Q269"/>
      <c r="R269"/>
      <c r="S269"/>
      <c r="T269"/>
      <c r="U269"/>
      <c r="V269"/>
      <c r="W269"/>
      <c r="X269"/>
      <c r="Y269"/>
      <c r="Z269" s="12"/>
      <c r="AA269" s="12"/>
      <c r="AB269" s="12"/>
      <c r="AC269" s="12"/>
      <c r="AD269" s="12"/>
      <c r="AE269" s="12"/>
      <c r="AF269" s="12"/>
      <c r="AG269" s="12"/>
      <c r="AH269" s="12"/>
      <c r="AI269" s="12"/>
    </row>
    <row r="270" spans="1:35" s="10" customFormat="1" x14ac:dyDescent="0.25">
      <c r="A270" s="12"/>
      <c r="B270" s="12"/>
      <c r="C270" s="12"/>
      <c r="D270"/>
      <c r="E270"/>
      <c r="F270"/>
      <c r="G270"/>
      <c r="H270"/>
      <c r="I270"/>
      <c r="J270"/>
      <c r="K270"/>
      <c r="L270"/>
      <c r="M270"/>
      <c r="N270"/>
      <c r="O270"/>
      <c r="P270"/>
      <c r="Q270"/>
      <c r="R270"/>
      <c r="S270"/>
      <c r="T270"/>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c r="F271"/>
      <c r="G271"/>
      <c r="H271"/>
      <c r="I271"/>
      <c r="J271"/>
      <c r="K271"/>
      <c r="L271"/>
      <c r="M271"/>
      <c r="N271"/>
      <c r="O271"/>
      <c r="P271"/>
      <c r="Q271"/>
      <c r="R271"/>
      <c r="S271"/>
      <c r="T271"/>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c r="F272"/>
      <c r="G272"/>
      <c r="H272"/>
      <c r="I272"/>
      <c r="J272"/>
      <c r="K272"/>
      <c r="L272"/>
      <c r="M272"/>
      <c r="N272"/>
      <c r="O272"/>
      <c r="P272"/>
      <c r="Q272"/>
      <c r="R272"/>
      <c r="S272"/>
      <c r="T272"/>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c r="F273"/>
      <c r="G273"/>
      <c r="H273"/>
      <c r="I273"/>
      <c r="J273"/>
      <c r="K273"/>
      <c r="L273"/>
      <c r="M273"/>
      <c r="N273"/>
      <c r="O273"/>
      <c r="P273"/>
      <c r="Q273"/>
      <c r="R273"/>
      <c r="S273"/>
      <c r="T273"/>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c r="F274"/>
      <c r="G274"/>
      <c r="H274"/>
      <c r="I274"/>
      <c r="J274"/>
      <c r="K274"/>
      <c r="L274"/>
      <c r="M274"/>
      <c r="N274"/>
      <c r="O274"/>
      <c r="P274"/>
      <c r="Q274"/>
      <c r="R274"/>
      <c r="S274"/>
      <c r="T27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c r="F275"/>
      <c r="G275"/>
      <c r="H275"/>
      <c r="I275"/>
      <c r="J275"/>
      <c r="K275"/>
      <c r="L275"/>
      <c r="M275"/>
      <c r="N275"/>
      <c r="O275"/>
      <c r="P275"/>
      <c r="Q275"/>
      <c r="R275"/>
      <c r="S275"/>
      <c r="T275"/>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c r="F276"/>
      <c r="G276"/>
      <c r="H276"/>
      <c r="I276"/>
      <c r="J276"/>
      <c r="K276"/>
      <c r="L276"/>
      <c r="M276"/>
      <c r="N276"/>
      <c r="O276"/>
      <c r="P276"/>
      <c r="Q276"/>
      <c r="R276"/>
      <c r="S276"/>
      <c r="T276"/>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s="3"/>
      <c r="H383" s="3"/>
      <c r="I383" s="3"/>
      <c r="J383" s="3"/>
      <c r="K383"/>
      <c r="L383"/>
      <c r="M383"/>
      <c r="N383" s="3"/>
      <c r="O383" s="3"/>
      <c r="P383" s="3"/>
      <c r="Q383" s="3"/>
      <c r="R383" s="3"/>
      <c r="S383"/>
      <c r="T383"/>
      <c r="U383"/>
      <c r="V383"/>
      <c r="W383" s="12"/>
      <c r="X383" s="12"/>
      <c r="Y383" s="12"/>
      <c r="Z383" s="12"/>
      <c r="AA383" s="12"/>
      <c r="AB383" s="12"/>
      <c r="AC383" s="12"/>
      <c r="AD383" s="12"/>
      <c r="AE383" s="12"/>
      <c r="AF383" s="12"/>
      <c r="AG383" s="12"/>
      <c r="AH383" s="12"/>
      <c r="AI383" s="12"/>
    </row>
    <row r="384" spans="1:35" s="10" customFormat="1" x14ac:dyDescent="0.25">
      <c r="A384" s="12"/>
      <c r="B384" s="12"/>
      <c r="C384" s="12"/>
      <c r="D384"/>
      <c r="E384"/>
      <c r="F384"/>
      <c r="G384" s="3"/>
      <c r="H384" s="3"/>
      <c r="I384" s="3"/>
      <c r="J384" s="3"/>
      <c r="K384"/>
      <c r="L384"/>
      <c r="M384"/>
      <c r="N384" s="3"/>
      <c r="O384" s="3"/>
      <c r="P384" s="3"/>
      <c r="Q384" s="3"/>
      <c r="R384" s="3"/>
      <c r="S384"/>
      <c r="T384"/>
      <c r="U384"/>
      <c r="V384"/>
      <c r="W384" s="12"/>
      <c r="X384" s="12"/>
      <c r="Y384" s="12"/>
      <c r="Z384" s="12"/>
      <c r="AA384" s="12"/>
      <c r="AB384" s="12"/>
      <c r="AC384" s="12"/>
      <c r="AD384" s="12"/>
      <c r="AE384" s="12"/>
      <c r="AF384" s="12"/>
      <c r="AG384" s="12"/>
      <c r="AH384" s="12"/>
      <c r="AI384" s="12"/>
    </row>
    <row r="385" spans="1:35" s="10" customFormat="1" x14ac:dyDescent="0.25">
      <c r="A385" s="12"/>
      <c r="B385" s="12"/>
      <c r="C385" s="12"/>
      <c r="D385"/>
      <c r="E385"/>
      <c r="F385"/>
      <c r="G385" s="3"/>
      <c r="H385" s="3"/>
      <c r="I385" s="3"/>
      <c r="J385" s="3"/>
      <c r="K385"/>
      <c r="L385"/>
      <c r="M385"/>
      <c r="N385" s="3"/>
      <c r="O385" s="3"/>
      <c r="P385" s="3"/>
      <c r="Q385" s="3"/>
      <c r="R385" s="3"/>
      <c r="S385"/>
      <c r="T385"/>
      <c r="U385"/>
      <c r="V385"/>
      <c r="W385" s="12"/>
      <c r="X385" s="12"/>
      <c r="Y385" s="12"/>
      <c r="Z385" s="12"/>
      <c r="AA385" s="12"/>
      <c r="AB385" s="12"/>
      <c r="AC385" s="12"/>
      <c r="AD385" s="12"/>
      <c r="AE385" s="12"/>
      <c r="AF385" s="12"/>
      <c r="AG385" s="12"/>
      <c r="AH385" s="12"/>
      <c r="AI385" s="12"/>
    </row>
    <row r="386" spans="1:35" s="10" customFormat="1" x14ac:dyDescent="0.25">
      <c r="A386" s="12"/>
      <c r="B386" s="12"/>
      <c r="C386" s="12"/>
      <c r="D386"/>
      <c r="E386"/>
      <c r="F386"/>
      <c r="G386" s="3"/>
      <c r="H386" s="3"/>
      <c r="I386" s="3"/>
      <c r="J386" s="3"/>
      <c r="K386"/>
      <c r="L386"/>
      <c r="M386"/>
      <c r="N386" s="3"/>
      <c r="O386" s="3"/>
      <c r="P386" s="3"/>
      <c r="Q386" s="3"/>
      <c r="R386" s="3"/>
      <c r="S386"/>
      <c r="T386"/>
      <c r="U386"/>
      <c r="V386"/>
      <c r="W386" s="12"/>
      <c r="X386" s="12"/>
      <c r="Y386" s="12"/>
      <c r="Z386" s="12"/>
      <c r="AA386" s="12"/>
      <c r="AB386" s="12"/>
      <c r="AC386" s="12"/>
      <c r="AD386" s="12"/>
      <c r="AE386" s="12"/>
      <c r="AF386" s="12"/>
      <c r="AG386" s="12"/>
      <c r="AH386" s="12"/>
      <c r="AI386" s="12"/>
    </row>
    <row r="387" spans="1:35" s="10" customFormat="1" x14ac:dyDescent="0.25">
      <c r="A387" s="12"/>
      <c r="B387" s="12"/>
      <c r="C387" s="12"/>
      <c r="D387"/>
      <c r="E387"/>
      <c r="F387"/>
      <c r="G387" s="3"/>
      <c r="H387" s="3"/>
      <c r="I387" s="3"/>
      <c r="J387" s="3"/>
      <c r="K387"/>
      <c r="L387"/>
      <c r="M387"/>
      <c r="N387" s="3"/>
      <c r="O387" s="3"/>
      <c r="P387" s="3"/>
      <c r="Q387" s="3"/>
      <c r="R387" s="3"/>
      <c r="S387"/>
      <c r="T387"/>
      <c r="U387"/>
      <c r="V387"/>
      <c r="W387" s="12"/>
      <c r="X387" s="12"/>
      <c r="Y387" s="12"/>
      <c r="Z387" s="12"/>
      <c r="AA387" s="12"/>
      <c r="AB387" s="12"/>
      <c r="AC387" s="12"/>
      <c r="AD387" s="12"/>
      <c r="AE387" s="12"/>
      <c r="AF387" s="12"/>
      <c r="AG387" s="12"/>
      <c r="AH387" s="12"/>
      <c r="AI387" s="12"/>
    </row>
    <row r="388" spans="1:35" s="10" customFormat="1" x14ac:dyDescent="0.25">
      <c r="A388" s="12"/>
      <c r="B388" s="12"/>
      <c r="C388" s="12"/>
      <c r="D388"/>
      <c r="E388"/>
      <c r="F388"/>
      <c r="G388" s="3"/>
      <c r="H388" s="3"/>
      <c r="I388" s="3"/>
      <c r="J388" s="3"/>
      <c r="K388"/>
      <c r="L388"/>
      <c r="M388"/>
      <c r="N388" s="3"/>
      <c r="O388" s="3"/>
      <c r="P388" s="3"/>
      <c r="Q388" s="3"/>
      <c r="R388" s="3"/>
      <c r="S388"/>
      <c r="T388"/>
      <c r="U388"/>
      <c r="V388"/>
      <c r="W388" s="12"/>
      <c r="X388" s="12"/>
      <c r="Y388" s="12"/>
      <c r="Z388" s="12"/>
      <c r="AA388" s="12"/>
      <c r="AB388" s="12"/>
      <c r="AC388" s="12"/>
      <c r="AD388" s="12"/>
      <c r="AE388" s="12"/>
      <c r="AF388" s="12"/>
      <c r="AG388" s="12"/>
      <c r="AH388" s="12"/>
      <c r="AI388" s="12"/>
    </row>
    <row r="389" spans="1:35" s="10" customFormat="1" x14ac:dyDescent="0.25">
      <c r="A389" s="12"/>
      <c r="B389" s="12"/>
      <c r="C389" s="12"/>
      <c r="D389"/>
      <c r="E389"/>
      <c r="F389"/>
      <c r="G389" s="3"/>
      <c r="H389" s="3"/>
      <c r="I389" s="3"/>
      <c r="J389" s="3"/>
      <c r="K389"/>
      <c r="L389"/>
      <c r="M389"/>
      <c r="N389" s="3"/>
      <c r="O389" s="3"/>
      <c r="P389" s="3"/>
      <c r="Q389" s="3"/>
      <c r="R389" s="3"/>
      <c r="S389"/>
      <c r="T389"/>
      <c r="U389"/>
      <c r="V389"/>
      <c r="W389" s="12"/>
      <c r="X389" s="12"/>
      <c r="Y389" s="12"/>
      <c r="Z389" s="12"/>
      <c r="AA389" s="12"/>
      <c r="AB389" s="12"/>
      <c r="AC389" s="12"/>
      <c r="AD389" s="12"/>
      <c r="AE389" s="12"/>
      <c r="AF389" s="12"/>
      <c r="AG389" s="12"/>
      <c r="AH389" s="12"/>
      <c r="AI389" s="12"/>
    </row>
    <row r="390" spans="1:35" s="10" customFormat="1" x14ac:dyDescent="0.25">
      <c r="A390" s="12"/>
      <c r="B390" s="12"/>
      <c r="C390" s="12"/>
      <c r="D390"/>
      <c r="E390"/>
      <c r="F390"/>
      <c r="G390" s="3"/>
      <c r="H390" s="3"/>
      <c r="I390" s="3"/>
      <c r="J390" s="3"/>
      <c r="K390"/>
      <c r="L390"/>
      <c r="M390"/>
      <c r="N390" s="3"/>
      <c r="O390" s="3"/>
      <c r="P390" s="3"/>
      <c r="Q390" s="3"/>
      <c r="R390" s="3"/>
      <c r="S390"/>
      <c r="T390"/>
      <c r="U390"/>
      <c r="V390"/>
      <c r="W390" s="12"/>
      <c r="X390" s="12"/>
      <c r="Y390" s="12"/>
      <c r="Z390" s="12"/>
      <c r="AA390" s="12"/>
      <c r="AB390" s="12"/>
      <c r="AC390" s="12"/>
      <c r="AD390" s="12"/>
      <c r="AE390" s="12"/>
      <c r="AF390" s="12"/>
      <c r="AG390" s="12"/>
      <c r="AH390" s="12"/>
      <c r="AI390" s="12"/>
    </row>
    <row r="391" spans="1:35" s="10" customFormat="1" x14ac:dyDescent="0.25">
      <c r="A391" s="12"/>
      <c r="B391" s="12"/>
      <c r="C391" s="12"/>
      <c r="D391"/>
      <c r="E391"/>
      <c r="F391"/>
      <c r="G391" s="3"/>
      <c r="H391" s="3"/>
      <c r="I391" s="3"/>
      <c r="J391" s="3"/>
      <c r="K391"/>
      <c r="L391"/>
      <c r="M391"/>
      <c r="N391" s="3"/>
      <c r="O391" s="3"/>
      <c r="P391" s="3"/>
      <c r="Q391" s="3"/>
      <c r="R391" s="3"/>
      <c r="S391"/>
      <c r="T391"/>
      <c r="U391"/>
      <c r="V391"/>
      <c r="W391" s="12"/>
      <c r="X391" s="12"/>
      <c r="Y391" s="12"/>
      <c r="Z391" s="12"/>
      <c r="AA391" s="12"/>
      <c r="AB391" s="12"/>
      <c r="AC391" s="12"/>
      <c r="AD391" s="12"/>
      <c r="AE391" s="12"/>
      <c r="AF391" s="12"/>
      <c r="AG391" s="12"/>
      <c r="AH391" s="12"/>
      <c r="AI391" s="12"/>
    </row>
    <row r="392" spans="1:35" s="10" customFormat="1" x14ac:dyDescent="0.25">
      <c r="A392" s="12"/>
      <c r="B392" s="12"/>
      <c r="C392" s="12"/>
      <c r="D392"/>
      <c r="E392"/>
      <c r="F392"/>
      <c r="G392" s="3"/>
      <c r="H392" s="3"/>
      <c r="I392" s="3"/>
      <c r="J392" s="3"/>
      <c r="K392"/>
      <c r="L392"/>
      <c r="M392"/>
      <c r="N392" s="3"/>
      <c r="O392" s="3"/>
      <c r="P392" s="3"/>
      <c r="Q392" s="3"/>
      <c r="R392" s="3"/>
      <c r="S392"/>
      <c r="T392"/>
      <c r="U392"/>
      <c r="V392"/>
      <c r="W392" s="12"/>
      <c r="X392" s="12"/>
      <c r="Y392" s="12"/>
      <c r="Z392" s="12"/>
      <c r="AA392" s="12"/>
      <c r="AB392" s="12"/>
      <c r="AC392" s="12"/>
      <c r="AD392" s="12"/>
      <c r="AE392" s="12"/>
      <c r="AF392" s="12"/>
      <c r="AG392" s="12"/>
      <c r="AH392" s="12"/>
      <c r="AI392" s="12"/>
    </row>
    <row r="393" spans="1:35" s="10" customFormat="1" x14ac:dyDescent="0.25">
      <c r="A393" s="12"/>
      <c r="B393" s="12"/>
      <c r="C393" s="12"/>
      <c r="D393"/>
      <c r="E393"/>
      <c r="F393"/>
      <c r="G393" s="3"/>
      <c r="H393" s="3"/>
      <c r="I393" s="3"/>
      <c r="J393" s="3"/>
      <c r="K393"/>
      <c r="L393"/>
      <c r="M393"/>
      <c r="N393" s="3"/>
      <c r="O393" s="3"/>
      <c r="P393" s="3"/>
      <c r="Q393" s="3"/>
      <c r="R393" s="3"/>
      <c r="S393"/>
      <c r="T393"/>
      <c r="U393"/>
      <c r="V393"/>
      <c r="W393" s="12"/>
      <c r="X393" s="12"/>
      <c r="Y393" s="12"/>
      <c r="Z393" s="12"/>
      <c r="AA393" s="12"/>
      <c r="AB393" s="12"/>
      <c r="AC393" s="12"/>
      <c r="AD393" s="12"/>
      <c r="AE393" s="12"/>
      <c r="AF393" s="12"/>
      <c r="AG393" s="12"/>
      <c r="AH393" s="12"/>
      <c r="AI393" s="12"/>
    </row>
    <row r="394" spans="1:35" s="10" customFormat="1" x14ac:dyDescent="0.25">
      <c r="A394" s="12"/>
      <c r="B394" s="12"/>
      <c r="C394" s="12"/>
      <c r="D394"/>
      <c r="E394"/>
      <c r="F394"/>
      <c r="G394" s="3"/>
      <c r="H394" s="3"/>
      <c r="I394" s="3"/>
      <c r="J394" s="3"/>
      <c r="K394"/>
      <c r="L394"/>
      <c r="M394"/>
      <c r="N394" s="3"/>
      <c r="O394" s="3"/>
      <c r="P394" s="3"/>
      <c r="Q394" s="3"/>
      <c r="R394" s="3"/>
      <c r="S394"/>
      <c r="T394"/>
      <c r="U394"/>
      <c r="V394"/>
      <c r="W394" s="12"/>
      <c r="X394" s="12"/>
      <c r="Y394" s="12"/>
      <c r="Z394" s="12"/>
      <c r="AA394" s="12"/>
      <c r="AB394" s="12"/>
      <c r="AC394" s="12"/>
      <c r="AD394" s="12"/>
      <c r="AE394" s="12"/>
      <c r="AF394" s="12"/>
      <c r="AG394" s="12"/>
      <c r="AH394" s="12"/>
      <c r="AI394" s="12"/>
    </row>
    <row r="395" spans="1:35" s="10" customFormat="1" x14ac:dyDescent="0.25">
      <c r="A395" s="12"/>
      <c r="B395" s="12"/>
      <c r="C395" s="12"/>
      <c r="D395"/>
      <c r="E395"/>
      <c r="F395"/>
      <c r="G395" s="3"/>
      <c r="H395" s="3"/>
      <c r="I395" s="3"/>
      <c r="J395" s="3"/>
      <c r="K395"/>
      <c r="L395"/>
      <c r="M395"/>
      <c r="N395" s="3"/>
      <c r="O395" s="3"/>
      <c r="P395" s="3"/>
      <c r="Q395" s="3"/>
      <c r="R395" s="3"/>
      <c r="S395"/>
      <c r="T395"/>
      <c r="U395"/>
      <c r="V395"/>
      <c r="W395" s="12"/>
      <c r="X395" s="12"/>
      <c r="Y395" s="12"/>
      <c r="Z395" s="12"/>
      <c r="AA395" s="12"/>
      <c r="AB395" s="12"/>
      <c r="AC395" s="12"/>
      <c r="AD395" s="12"/>
      <c r="AE395" s="12"/>
      <c r="AF395" s="12"/>
      <c r="AG395" s="12"/>
      <c r="AH395" s="12"/>
      <c r="AI395" s="12"/>
    </row>
    <row r="396" spans="1:35" s="10" customFormat="1" x14ac:dyDescent="0.25">
      <c r="A396" s="12"/>
      <c r="B396" s="12"/>
      <c r="C396" s="12"/>
      <c r="D396"/>
      <c r="E396"/>
      <c r="F396"/>
      <c r="G396" s="3"/>
      <c r="H396" s="3"/>
      <c r="I396" s="3"/>
      <c r="J396" s="3"/>
      <c r="K396"/>
      <c r="L396"/>
      <c r="M396"/>
      <c r="N396" s="3"/>
      <c r="O396" s="3"/>
      <c r="P396" s="3"/>
      <c r="Q396" s="3"/>
      <c r="R396" s="3"/>
      <c r="S396"/>
      <c r="T396"/>
      <c r="U396"/>
      <c r="V396"/>
      <c r="W396" s="12"/>
      <c r="X396" s="12"/>
      <c r="Y396" s="12"/>
      <c r="Z396" s="12"/>
      <c r="AA396" s="12"/>
      <c r="AB396" s="12"/>
      <c r="AC396" s="12"/>
      <c r="AD396" s="12"/>
      <c r="AE396" s="12"/>
      <c r="AF396" s="12"/>
      <c r="AG396" s="12"/>
      <c r="AH396" s="12"/>
      <c r="AI396" s="12"/>
    </row>
    <row r="397" spans="1:35" s="10" customFormat="1" x14ac:dyDescent="0.25">
      <c r="A397" s="12"/>
      <c r="B397" s="12"/>
      <c r="C397" s="12"/>
      <c r="D397"/>
      <c r="E397"/>
      <c r="F397"/>
      <c r="G397" s="3"/>
      <c r="H397" s="3"/>
      <c r="I397" s="3"/>
      <c r="J397" s="3"/>
      <c r="K397"/>
      <c r="L397"/>
      <c r="M397"/>
      <c r="N397" s="3"/>
      <c r="O397" s="3"/>
      <c r="P397" s="3"/>
      <c r="Q397" s="3"/>
      <c r="R397" s="3"/>
      <c r="S397"/>
      <c r="T397"/>
      <c r="U397"/>
      <c r="V397"/>
      <c r="W397" s="12"/>
      <c r="X397" s="12"/>
      <c r="Y397" s="12"/>
      <c r="Z397" s="12"/>
      <c r="AA397" s="12"/>
      <c r="AB397" s="12"/>
      <c r="AC397" s="12"/>
      <c r="AD397" s="12"/>
      <c r="AE397" s="12"/>
      <c r="AF397" s="12"/>
      <c r="AG397" s="12"/>
      <c r="AH397" s="12"/>
      <c r="AI397" s="12"/>
    </row>
    <row r="398" spans="1:35" s="10" customFormat="1" x14ac:dyDescent="0.25">
      <c r="A398" s="12"/>
      <c r="B398" s="12"/>
      <c r="C398" s="12"/>
      <c r="D398"/>
      <c r="E398"/>
      <c r="F398"/>
      <c r="G398" s="3"/>
      <c r="H398" s="3"/>
      <c r="I398" s="3"/>
      <c r="J398" s="3"/>
      <c r="K398"/>
      <c r="L398"/>
      <c r="M398"/>
      <c r="N398" s="3"/>
      <c r="O398" s="3"/>
      <c r="P398" s="3"/>
      <c r="Q398" s="3"/>
      <c r="R398" s="3"/>
      <c r="S398"/>
      <c r="T398"/>
      <c r="U398"/>
      <c r="V398"/>
      <c r="W398" s="12"/>
      <c r="X398" s="12"/>
      <c r="Y398" s="12"/>
      <c r="Z398" s="12"/>
      <c r="AA398" s="12"/>
      <c r="AB398" s="12"/>
      <c r="AC398" s="12"/>
      <c r="AD398" s="12"/>
      <c r="AE398" s="12"/>
      <c r="AF398" s="12"/>
      <c r="AG398" s="12"/>
      <c r="AH398" s="12"/>
      <c r="AI398" s="12"/>
    </row>
    <row r="399" spans="1:35" s="10" customFormat="1" x14ac:dyDescent="0.25">
      <c r="A399" s="12"/>
      <c r="B399" s="12"/>
      <c r="C399" s="12"/>
      <c r="D399"/>
      <c r="E399"/>
      <c r="F399"/>
      <c r="G399" s="3"/>
      <c r="H399" s="3"/>
      <c r="I399" s="3"/>
      <c r="J399" s="3"/>
      <c r="K399"/>
      <c r="L399"/>
      <c r="M399"/>
      <c r="N399" s="3"/>
      <c r="O399" s="3"/>
      <c r="P399" s="3"/>
      <c r="Q399" s="3"/>
      <c r="R399" s="3"/>
      <c r="S399"/>
      <c r="T399"/>
      <c r="U399"/>
      <c r="V399"/>
      <c r="W399" s="12"/>
      <c r="X399" s="12"/>
      <c r="Y399" s="12"/>
      <c r="Z399" s="12"/>
      <c r="AA399" s="12"/>
      <c r="AB399" s="12"/>
      <c r="AC399" s="12"/>
      <c r="AD399" s="12"/>
      <c r="AE399" s="12"/>
      <c r="AF399" s="12"/>
      <c r="AG399" s="12"/>
      <c r="AH399" s="12"/>
      <c r="AI399" s="12"/>
    </row>
    <row r="400" spans="1:35" s="10" customFormat="1" x14ac:dyDescent="0.25">
      <c r="A400" s="12"/>
      <c r="B400" s="12"/>
      <c r="C400" s="12"/>
      <c r="D400"/>
      <c r="E400"/>
      <c r="F400"/>
      <c r="G400" s="3"/>
      <c r="H400" s="3"/>
      <c r="I400" s="3"/>
      <c r="J400" s="3"/>
      <c r="K400"/>
      <c r="L400"/>
      <c r="M400"/>
      <c r="N400" s="3"/>
      <c r="O400" s="3"/>
      <c r="P400" s="3"/>
      <c r="Q400" s="3"/>
      <c r="R400" s="3"/>
      <c r="S400"/>
      <c r="T400"/>
      <c r="U400"/>
      <c r="V400"/>
      <c r="W400" s="12"/>
      <c r="X400" s="12"/>
      <c r="Y400" s="12"/>
      <c r="Z400" s="12"/>
      <c r="AA400" s="12"/>
      <c r="AB400" s="12"/>
      <c r="AC400" s="12"/>
      <c r="AD400" s="12"/>
      <c r="AE400" s="12"/>
      <c r="AF400" s="12"/>
      <c r="AG400" s="12"/>
      <c r="AH400" s="12"/>
      <c r="AI400" s="12"/>
    </row>
    <row r="401" spans="1:35" s="10" customFormat="1" x14ac:dyDescent="0.25">
      <c r="A401" s="12"/>
      <c r="B401" s="12"/>
      <c r="C401" s="12"/>
      <c r="D401"/>
      <c r="E401"/>
      <c r="F401"/>
      <c r="G401" s="3"/>
      <c r="H401" s="3"/>
      <c r="I401" s="3"/>
      <c r="J401" s="3"/>
      <c r="K401"/>
      <c r="L401"/>
      <c r="M401"/>
      <c r="N401" s="3"/>
      <c r="O401" s="3"/>
      <c r="P401" s="3"/>
      <c r="Q401" s="3"/>
      <c r="R401" s="3"/>
      <c r="S401"/>
      <c r="T401"/>
      <c r="U401"/>
      <c r="V401"/>
      <c r="W401" s="12"/>
      <c r="X401" s="12"/>
      <c r="Y401" s="12"/>
      <c r="Z401" s="12"/>
      <c r="AA401" s="12"/>
      <c r="AB401" s="12"/>
      <c r="AC401" s="12"/>
      <c r="AD401" s="12"/>
      <c r="AE401" s="12"/>
      <c r="AF401" s="12"/>
      <c r="AG401" s="12"/>
      <c r="AH401" s="12"/>
      <c r="AI401" s="12"/>
    </row>
    <row r="402" spans="1:35" s="10" customFormat="1" x14ac:dyDescent="0.25">
      <c r="A402" s="12"/>
      <c r="B402" s="12"/>
      <c r="C402" s="12"/>
      <c r="D402"/>
      <c r="E402"/>
      <c r="F402"/>
      <c r="G402" s="3"/>
      <c r="H402" s="3"/>
      <c r="I402" s="3"/>
      <c r="J402" s="3"/>
      <c r="K402"/>
      <c r="L402"/>
      <c r="M402"/>
      <c r="N402" s="3"/>
      <c r="O402" s="3"/>
      <c r="P402" s="3"/>
      <c r="Q402" s="3"/>
      <c r="R402" s="3"/>
      <c r="S402"/>
      <c r="T402"/>
      <c r="U402"/>
      <c r="V402"/>
      <c r="W402" s="12"/>
      <c r="X402" s="12"/>
      <c r="Y402" s="12"/>
      <c r="Z402" s="12"/>
      <c r="AA402" s="12"/>
      <c r="AB402" s="12"/>
      <c r="AC402" s="12"/>
      <c r="AD402" s="12"/>
      <c r="AE402" s="12"/>
      <c r="AF402" s="12"/>
      <c r="AG402" s="12"/>
      <c r="AH402" s="12"/>
      <c r="AI402" s="12"/>
    </row>
    <row r="403" spans="1:35" s="10" customFormat="1" x14ac:dyDescent="0.25">
      <c r="A403" s="12"/>
      <c r="B403" s="12"/>
      <c r="C403" s="12"/>
      <c r="D403"/>
      <c r="E403"/>
      <c r="F403"/>
      <c r="G403" s="3"/>
      <c r="H403" s="3"/>
      <c r="I403" s="3"/>
      <c r="J403" s="3"/>
      <c r="K403"/>
      <c r="L403"/>
      <c r="M403"/>
      <c r="N403" s="3"/>
      <c r="O403" s="3"/>
      <c r="P403" s="3"/>
      <c r="Q403" s="3"/>
      <c r="R403" s="3"/>
      <c r="S403"/>
      <c r="T403"/>
      <c r="U403"/>
      <c r="V403"/>
      <c r="W403" s="12"/>
      <c r="X403" s="12"/>
      <c r="Y403" s="12"/>
      <c r="Z403" s="12"/>
      <c r="AA403" s="12"/>
      <c r="AB403" s="12"/>
      <c r="AC403" s="12"/>
      <c r="AD403" s="12"/>
      <c r="AE403" s="12"/>
      <c r="AF403" s="12"/>
      <c r="AG403" s="12"/>
      <c r="AH403" s="12"/>
      <c r="AI403" s="12"/>
    </row>
    <row r="404" spans="1:35" s="10" customFormat="1" x14ac:dyDescent="0.25">
      <c r="A404" s="12"/>
      <c r="B404" s="12"/>
      <c r="C404" s="12"/>
      <c r="D404"/>
      <c r="E404"/>
      <c r="F404"/>
      <c r="G404" s="3"/>
      <c r="H404" s="3"/>
      <c r="I404" s="3"/>
      <c r="J404" s="3"/>
      <c r="K404"/>
      <c r="L404"/>
      <c r="M404"/>
      <c r="N404" s="3"/>
      <c r="O404" s="3"/>
      <c r="P404" s="3"/>
      <c r="Q404" s="3"/>
      <c r="R404" s="3"/>
      <c r="S404"/>
      <c r="T404"/>
      <c r="U404"/>
      <c r="V404"/>
      <c r="W404" s="12"/>
      <c r="X404" s="12"/>
      <c r="Y404" s="12"/>
      <c r="Z404" s="12"/>
      <c r="AA404" s="12"/>
      <c r="AB404" s="12"/>
      <c r="AC404" s="12"/>
      <c r="AD404" s="12"/>
      <c r="AE404" s="12"/>
      <c r="AF404" s="12"/>
      <c r="AG404" s="12"/>
      <c r="AH404" s="12"/>
      <c r="AI404" s="12"/>
    </row>
    <row r="405" spans="1:35" s="10" customFormat="1" x14ac:dyDescent="0.25">
      <c r="A405" s="12"/>
      <c r="B405" s="12"/>
      <c r="C405" s="12"/>
      <c r="D405"/>
      <c r="E405"/>
      <c r="F405"/>
      <c r="G405" s="3"/>
      <c r="H405" s="3"/>
      <c r="I405" s="3"/>
      <c r="J405" s="3"/>
      <c r="K405"/>
      <c r="L405"/>
      <c r="M405"/>
      <c r="N405" s="3"/>
      <c r="O405" s="3"/>
      <c r="P405" s="3"/>
      <c r="Q405" s="3"/>
      <c r="R405" s="3"/>
      <c r="S405"/>
      <c r="T405"/>
      <c r="U405"/>
      <c r="V405"/>
      <c r="W405" s="12"/>
      <c r="X405" s="12"/>
      <c r="Y405" s="12"/>
      <c r="Z405" s="12"/>
      <c r="AA405" s="12"/>
      <c r="AB405" s="12"/>
      <c r="AC405" s="12"/>
      <c r="AD405" s="12"/>
      <c r="AE405" s="12"/>
      <c r="AF405" s="12"/>
      <c r="AG405" s="12"/>
      <c r="AH405" s="12"/>
      <c r="AI405" s="12"/>
    </row>
    <row r="406" spans="1:35" s="10" customFormat="1" x14ac:dyDescent="0.25">
      <c r="A406" s="12"/>
      <c r="B406" s="12"/>
      <c r="C406" s="12"/>
      <c r="D406"/>
      <c r="E406"/>
      <c r="F406"/>
      <c r="G406" s="3"/>
      <c r="H406" s="3"/>
      <c r="I406" s="3"/>
      <c r="J406" s="3"/>
      <c r="K406"/>
      <c r="L406"/>
      <c r="M406"/>
      <c r="N406" s="3"/>
      <c r="O406" s="3"/>
      <c r="P406" s="3"/>
      <c r="Q406" s="3"/>
      <c r="R406" s="3"/>
      <c r="S406"/>
      <c r="T406"/>
      <c r="U406"/>
      <c r="V406"/>
      <c r="W406" s="12"/>
      <c r="X406" s="12"/>
      <c r="Y406" s="12"/>
      <c r="Z406" s="12"/>
      <c r="AA406" s="12"/>
      <c r="AB406" s="12"/>
      <c r="AC406" s="12"/>
      <c r="AD406" s="12"/>
      <c r="AE406" s="12"/>
      <c r="AF406" s="12"/>
      <c r="AG406" s="12"/>
      <c r="AH406" s="12"/>
      <c r="AI406" s="12"/>
    </row>
    <row r="407" spans="1:35" s="10" customFormat="1" x14ac:dyDescent="0.25">
      <c r="A407" s="12"/>
      <c r="B407" s="12"/>
      <c r="C407" s="12"/>
      <c r="D407"/>
      <c r="E407"/>
      <c r="F407"/>
      <c r="G407" s="3"/>
      <c r="H407" s="3"/>
      <c r="I407" s="3"/>
      <c r="J407" s="3"/>
      <c r="K407"/>
      <c r="L407"/>
      <c r="M407"/>
      <c r="N407" s="3"/>
      <c r="O407" s="3"/>
      <c r="P407" s="3"/>
      <c r="Q407" s="3"/>
      <c r="R407" s="3"/>
      <c r="S407"/>
      <c r="T407"/>
      <c r="U407"/>
      <c r="V407"/>
      <c r="W407" s="12"/>
      <c r="X407" s="12"/>
      <c r="Y407" s="12"/>
      <c r="Z407" s="12"/>
      <c r="AA407" s="12"/>
      <c r="AB407" s="12"/>
      <c r="AC407" s="12"/>
      <c r="AD407" s="12"/>
      <c r="AE407" s="12"/>
      <c r="AF407" s="12"/>
      <c r="AG407" s="12"/>
      <c r="AH407" s="12"/>
      <c r="AI407" s="12"/>
    </row>
    <row r="408" spans="1:35" s="10" customFormat="1" x14ac:dyDescent="0.25">
      <c r="A408" s="12"/>
      <c r="B408" s="12"/>
      <c r="C408" s="12"/>
      <c r="D408"/>
      <c r="E408"/>
      <c r="F408"/>
      <c r="G408" s="3"/>
      <c r="H408" s="3"/>
      <c r="I408" s="3"/>
      <c r="J408" s="3"/>
      <c r="K408"/>
      <c r="L408"/>
      <c r="M408"/>
      <c r="N408" s="3"/>
      <c r="O408" s="3"/>
      <c r="P408" s="3"/>
      <c r="Q408" s="3"/>
      <c r="R408" s="3"/>
      <c r="S408"/>
      <c r="T408"/>
      <c r="U408"/>
      <c r="V408"/>
      <c r="W408" s="12"/>
      <c r="X408" s="12"/>
      <c r="Y408" s="12"/>
      <c r="Z408" s="12"/>
      <c r="AA408" s="12"/>
      <c r="AB408" s="12"/>
      <c r="AC408" s="12"/>
      <c r="AD408" s="12"/>
      <c r="AE408" s="12"/>
      <c r="AF408" s="12"/>
      <c r="AG408" s="12"/>
      <c r="AH408" s="12"/>
      <c r="AI408" s="12"/>
    </row>
    <row r="409" spans="1:35" s="10" customFormat="1" x14ac:dyDescent="0.25">
      <c r="A409" s="12"/>
      <c r="B409" s="12"/>
      <c r="C409" s="12"/>
      <c r="D409"/>
      <c r="E409"/>
      <c r="F409"/>
      <c r="G409" s="3"/>
      <c r="H409" s="3"/>
      <c r="I409" s="3"/>
      <c r="J409" s="3"/>
      <c r="K409"/>
      <c r="L409"/>
      <c r="M409"/>
      <c r="N409" s="3"/>
      <c r="O409" s="3"/>
      <c r="P409" s="3"/>
      <c r="Q409" s="3"/>
      <c r="R409" s="3"/>
      <c r="S409"/>
      <c r="T409"/>
      <c r="U409"/>
      <c r="V409"/>
      <c r="W409" s="12"/>
      <c r="X409" s="12"/>
      <c r="Y409" s="12"/>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s="15"/>
      <c r="E442"/>
      <c r="F442"/>
      <c r="G442" s="3"/>
      <c r="H442" s="3"/>
      <c r="I442" s="3"/>
      <c r="J442" s="3"/>
      <c r="K442"/>
      <c r="L442"/>
      <c r="M442"/>
      <c r="N442" s="3"/>
      <c r="O442" s="3"/>
      <c r="P442" s="3"/>
      <c r="Q442" s="3"/>
      <c r="R442" s="3"/>
      <c r="S442"/>
      <c r="T442"/>
      <c r="U442" s="12"/>
      <c r="V442" s="12"/>
      <c r="W442" s="12"/>
      <c r="X442" s="12"/>
      <c r="Y442" s="12"/>
      <c r="Z442" s="12"/>
      <c r="AA442" s="12"/>
      <c r="AB442" s="12"/>
      <c r="AC442" s="12"/>
      <c r="AD442" s="12"/>
      <c r="AE442" s="12"/>
      <c r="AF442" s="12"/>
      <c r="AG442" s="12"/>
      <c r="AH442" s="12"/>
      <c r="AI442" s="12"/>
    </row>
    <row r="443" spans="1:35" s="10" customFormat="1" x14ac:dyDescent="0.25">
      <c r="A443" s="12"/>
      <c r="B443" s="12"/>
      <c r="C443" s="12"/>
      <c r="D443" s="15"/>
      <c r="E443"/>
      <c r="F443"/>
      <c r="G443" s="3"/>
      <c r="H443" s="3"/>
      <c r="I443" s="3"/>
      <c r="J443" s="3"/>
      <c r="K443"/>
      <c r="L443"/>
      <c r="M443"/>
      <c r="N443" s="3"/>
      <c r="O443" s="3"/>
      <c r="P443" s="3"/>
      <c r="Q443" s="3"/>
      <c r="R443" s="3"/>
      <c r="S443"/>
      <c r="T443"/>
      <c r="U443" s="12"/>
      <c r="V443" s="12"/>
      <c r="W443" s="12"/>
      <c r="X443" s="12"/>
      <c r="Y443" s="12"/>
      <c r="Z443" s="12"/>
      <c r="AA443" s="12"/>
      <c r="AB443" s="12"/>
      <c r="AC443" s="12"/>
      <c r="AD443" s="12"/>
      <c r="AE443" s="12"/>
      <c r="AF443" s="12"/>
      <c r="AG443" s="12"/>
      <c r="AH443" s="12"/>
      <c r="AI443" s="12"/>
    </row>
    <row r="444" spans="1:35" s="10" customFormat="1" x14ac:dyDescent="0.25">
      <c r="A444" s="12"/>
      <c r="B444" s="12"/>
      <c r="C444" s="12"/>
      <c r="D444" s="15"/>
      <c r="E444"/>
      <c r="F444"/>
      <c r="G444" s="3"/>
      <c r="H444" s="3"/>
      <c r="I444" s="3"/>
      <c r="J444" s="3"/>
      <c r="K444"/>
      <c r="L444"/>
      <c r="M444"/>
      <c r="N444" s="3"/>
      <c r="O444" s="3"/>
      <c r="P444" s="3"/>
      <c r="Q444" s="3"/>
      <c r="R444" s="3"/>
      <c r="S444"/>
      <c r="T444"/>
      <c r="U444" s="12"/>
      <c r="V444" s="12"/>
      <c r="W444" s="12"/>
      <c r="X444" s="12"/>
      <c r="Y444" s="12"/>
      <c r="Z444" s="12"/>
      <c r="AA444" s="12"/>
      <c r="AB444" s="12"/>
      <c r="AC444" s="12"/>
      <c r="AD444" s="12"/>
      <c r="AE444" s="12"/>
      <c r="AF444" s="12"/>
      <c r="AG444" s="12"/>
      <c r="AH444" s="12"/>
      <c r="AI444" s="12"/>
    </row>
    <row r="445" spans="1:35" s="10" customFormat="1" x14ac:dyDescent="0.25">
      <c r="A445" s="12"/>
      <c r="B445" s="12"/>
      <c r="C445" s="12"/>
      <c r="D445" s="12"/>
      <c r="E445"/>
      <c r="F445"/>
      <c r="G445" s="3"/>
      <c r="H445" s="3"/>
      <c r="I445" s="3"/>
      <c r="J445" s="3"/>
      <c r="K445"/>
      <c r="L445"/>
      <c r="M445"/>
      <c r="N445" s="3"/>
      <c r="O445" s="3"/>
      <c r="P445" s="3"/>
      <c r="Q445" s="3"/>
      <c r="R445" s="3"/>
      <c r="S445"/>
      <c r="T445"/>
      <c r="U445" s="12"/>
      <c r="V445" s="12"/>
      <c r="W445" s="12"/>
      <c r="X445" s="12"/>
      <c r="Y445" s="12"/>
      <c r="Z445" s="12"/>
      <c r="AA445" s="12"/>
      <c r="AB445" s="12"/>
      <c r="AC445" s="12"/>
      <c r="AD445" s="12"/>
      <c r="AE445" s="12"/>
      <c r="AF445" s="12"/>
      <c r="AG445" s="12"/>
      <c r="AH445" s="12"/>
      <c r="AI445" s="12"/>
    </row>
    <row r="446" spans="1:35" s="10" customFormat="1" x14ac:dyDescent="0.25">
      <c r="A446" s="12"/>
      <c r="B446" s="12"/>
      <c r="C446" s="12"/>
      <c r="D446" s="12"/>
      <c r="E446"/>
      <c r="F446"/>
      <c r="G446" s="3"/>
      <c r="H446" s="3"/>
      <c r="I446" s="3"/>
      <c r="J446" s="3"/>
      <c r="K446"/>
      <c r="L446"/>
      <c r="M446"/>
      <c r="N446" s="3"/>
      <c r="O446" s="3"/>
      <c r="P446" s="3"/>
      <c r="Q446" s="3"/>
      <c r="R446" s="3"/>
      <c r="S446"/>
      <c r="T446"/>
      <c r="U446" s="12"/>
      <c r="V446" s="12"/>
      <c r="W446" s="12"/>
      <c r="X446" s="12"/>
      <c r="Y446" s="12"/>
      <c r="Z446" s="12"/>
      <c r="AA446" s="12"/>
      <c r="AB446" s="12"/>
      <c r="AC446" s="12"/>
      <c r="AD446" s="12"/>
      <c r="AE446" s="12"/>
      <c r="AF446" s="12"/>
      <c r="AG446" s="12"/>
      <c r="AH446" s="12"/>
      <c r="AI446" s="12"/>
    </row>
    <row r="447" spans="1:35" s="10" customFormat="1" x14ac:dyDescent="0.25">
      <c r="A447" s="12"/>
      <c r="B447" s="12"/>
      <c r="C447" s="12"/>
      <c r="D447" s="12"/>
      <c r="E447" s="12"/>
      <c r="G447" s="14"/>
      <c r="H447" s="17"/>
      <c r="I447" s="14"/>
      <c r="M447" s="12"/>
      <c r="T447" s="12"/>
      <c r="U447" s="12"/>
      <c r="V447" s="12"/>
      <c r="W447" s="12"/>
      <c r="X447" s="12"/>
      <c r="Y447" s="12"/>
      <c r="Z447" s="12"/>
      <c r="AA447" s="12"/>
      <c r="AB447" s="12"/>
      <c r="AC447" s="12"/>
      <c r="AD447" s="12"/>
      <c r="AE447" s="12"/>
      <c r="AF447" s="12"/>
      <c r="AG447" s="12"/>
      <c r="AH447" s="12"/>
      <c r="AI447" s="12"/>
    </row>
    <row r="448" spans="1:35" s="10" customFormat="1" x14ac:dyDescent="0.25">
      <c r="A448" s="12"/>
      <c r="B448" s="12"/>
      <c r="C448" s="12"/>
      <c r="D448" s="12"/>
      <c r="E448" s="12"/>
      <c r="G448" s="14"/>
      <c r="H448" s="17"/>
      <c r="I448" s="14"/>
      <c r="M448" s="12"/>
      <c r="T448" s="12"/>
      <c r="U448" s="12"/>
      <c r="V448" s="12"/>
      <c r="W448" s="12"/>
      <c r="X448" s="12"/>
      <c r="Y448" s="12"/>
      <c r="Z448" s="12"/>
      <c r="AA448" s="12"/>
      <c r="AB448" s="12"/>
      <c r="AC448" s="12"/>
      <c r="AD448" s="12"/>
      <c r="AE448" s="12"/>
      <c r="AF448" s="12"/>
      <c r="AG448" s="12"/>
      <c r="AH448" s="12"/>
      <c r="AI448" s="12"/>
    </row>
    <row r="449" spans="1:35" s="10" customFormat="1" x14ac:dyDescent="0.25">
      <c r="A449" s="12"/>
      <c r="B449" s="12"/>
      <c r="C449" s="12"/>
      <c r="D449" s="12"/>
      <c r="E449" s="12"/>
      <c r="G449" s="14"/>
      <c r="H449" s="17"/>
      <c r="I449" s="14"/>
      <c r="M449" s="12"/>
      <c r="T449" s="12"/>
      <c r="U449" s="12"/>
      <c r="V449" s="12"/>
      <c r="W449" s="12"/>
      <c r="X449" s="12"/>
      <c r="Y449" s="12"/>
      <c r="Z449" s="12"/>
      <c r="AA449" s="12"/>
      <c r="AB449" s="12"/>
      <c r="AC449" s="12"/>
      <c r="AD449" s="12"/>
      <c r="AE449" s="12"/>
      <c r="AF449" s="12"/>
      <c r="AG449" s="12"/>
      <c r="AH449" s="12"/>
      <c r="AI449" s="12"/>
    </row>
    <row r="450" spans="1:35" s="10" customFormat="1" x14ac:dyDescent="0.25">
      <c r="A450" s="12"/>
      <c r="B450" s="12"/>
      <c r="C450" s="12"/>
      <c r="D450" s="12"/>
      <c r="E450" s="12"/>
      <c r="G450" s="14"/>
      <c r="H450" s="17"/>
      <c r="I450" s="14"/>
      <c r="M450" s="12"/>
      <c r="T450" s="12"/>
      <c r="U450" s="12"/>
      <c r="V450" s="12"/>
      <c r="W450" s="12"/>
      <c r="X450" s="12"/>
      <c r="Y450" s="12"/>
      <c r="Z450" s="12"/>
      <c r="AA450" s="12"/>
      <c r="AB450" s="12"/>
      <c r="AC450" s="12"/>
      <c r="AD450" s="12"/>
      <c r="AE450" s="12"/>
      <c r="AF450" s="12"/>
      <c r="AG450" s="12"/>
      <c r="AH450" s="12"/>
      <c r="AI450" s="12"/>
    </row>
    <row r="451" spans="1:35" s="10" customFormat="1" x14ac:dyDescent="0.25">
      <c r="A451" s="12"/>
      <c r="B451" s="12"/>
      <c r="C451" s="12"/>
      <c r="D451" s="12"/>
      <c r="E451" s="12"/>
      <c r="G451" s="14"/>
      <c r="H451" s="17"/>
      <c r="I451" s="14"/>
      <c r="M451" s="12"/>
      <c r="T451" s="12"/>
      <c r="U451" s="12"/>
      <c r="V451" s="12"/>
      <c r="W451" s="12"/>
      <c r="X451" s="12"/>
      <c r="Y451" s="12"/>
      <c r="Z451" s="12"/>
      <c r="AA451" s="12"/>
      <c r="AB451" s="12"/>
      <c r="AC451" s="12"/>
      <c r="AD451" s="12"/>
      <c r="AE451" s="12"/>
      <c r="AF451" s="12"/>
      <c r="AG451" s="12"/>
      <c r="AH451" s="12"/>
      <c r="AI451" s="12"/>
    </row>
    <row r="452" spans="1:35" s="10" customFormat="1" x14ac:dyDescent="0.25">
      <c r="A452" s="12"/>
      <c r="B452" s="12"/>
      <c r="C452" s="12"/>
      <c r="D452" s="12"/>
      <c r="E452" s="12"/>
      <c r="G452" s="14"/>
      <c r="H452" s="17"/>
      <c r="I452" s="14"/>
      <c r="M452" s="12"/>
      <c r="T452" s="12"/>
      <c r="U452" s="12"/>
      <c r="V452" s="12"/>
      <c r="W452" s="12"/>
      <c r="X452" s="12"/>
      <c r="Y452" s="12"/>
      <c r="Z452" s="12"/>
      <c r="AA452" s="12"/>
      <c r="AB452" s="12"/>
      <c r="AC452" s="12"/>
      <c r="AD452" s="12"/>
      <c r="AE452" s="12"/>
      <c r="AF452" s="12"/>
      <c r="AG452" s="12"/>
      <c r="AH452" s="12"/>
      <c r="AI452" s="12"/>
    </row>
    <row r="453" spans="1:35" s="10" customFormat="1" x14ac:dyDescent="0.25">
      <c r="A453" s="12"/>
      <c r="B453" s="12"/>
      <c r="C453" s="12"/>
      <c r="D453" s="12"/>
      <c r="E453" s="12"/>
      <c r="G453" s="14"/>
      <c r="H453" s="17"/>
      <c r="I453" s="14"/>
      <c r="M453" s="12"/>
      <c r="T453" s="12"/>
      <c r="U453" s="12"/>
      <c r="V453" s="12"/>
      <c r="W453" s="12"/>
      <c r="X453" s="12"/>
      <c r="Y453" s="12"/>
      <c r="Z453" s="12"/>
      <c r="AA453" s="12"/>
      <c r="AB453" s="12"/>
      <c r="AC453" s="12"/>
      <c r="AD453" s="12"/>
      <c r="AE453" s="12"/>
      <c r="AF453" s="12"/>
      <c r="AG453" s="12"/>
      <c r="AH453" s="12"/>
      <c r="AI453" s="12"/>
    </row>
    <row r="454" spans="1:35" s="10" customFormat="1" x14ac:dyDescent="0.25">
      <c r="A454" s="12"/>
      <c r="B454" s="12"/>
      <c r="C454" s="12"/>
      <c r="D454" s="12"/>
      <c r="E454" s="12"/>
      <c r="G454" s="14"/>
      <c r="H454" s="17"/>
      <c r="I454" s="14"/>
      <c r="M454" s="12"/>
      <c r="T454" s="12"/>
      <c r="U454" s="12"/>
      <c r="V454" s="12"/>
      <c r="W454" s="12"/>
      <c r="X454" s="12"/>
      <c r="Y454" s="12"/>
      <c r="Z454" s="12"/>
      <c r="AA454" s="12"/>
      <c r="AB454" s="12"/>
      <c r="AC454" s="12"/>
      <c r="AD454" s="12"/>
      <c r="AE454" s="12"/>
      <c r="AF454" s="12"/>
      <c r="AG454" s="12"/>
      <c r="AH454" s="12"/>
      <c r="AI454" s="12"/>
    </row>
    <row r="455" spans="1:35" s="10" customFormat="1" x14ac:dyDescent="0.25">
      <c r="A455" s="12"/>
      <c r="B455" s="12"/>
      <c r="C455" s="12"/>
      <c r="D455" s="12"/>
      <c r="E455" s="12"/>
      <c r="G455" s="14"/>
      <c r="H455" s="17"/>
      <c r="I455" s="14"/>
      <c r="M455" s="12"/>
      <c r="T455" s="12"/>
      <c r="U455" s="12"/>
      <c r="V455" s="12"/>
      <c r="W455" s="12"/>
      <c r="X455" s="12"/>
      <c r="Y455" s="12"/>
      <c r="Z455" s="12"/>
      <c r="AA455" s="12"/>
      <c r="AB455" s="12"/>
      <c r="AC455" s="12"/>
      <c r="AD455" s="12"/>
      <c r="AE455" s="12"/>
      <c r="AF455" s="12"/>
      <c r="AG455" s="12"/>
      <c r="AH455" s="12"/>
      <c r="AI455" s="12"/>
    </row>
    <row r="456" spans="1:35" s="10" customFormat="1" x14ac:dyDescent="0.25">
      <c r="A456" s="12"/>
      <c r="B456" s="12"/>
      <c r="C456" s="12"/>
      <c r="D456" s="12"/>
      <c r="E456" s="12"/>
      <c r="G456" s="14"/>
      <c r="H456" s="17"/>
      <c r="I456" s="14"/>
      <c r="M456" s="12"/>
      <c r="T456" s="12"/>
      <c r="U456" s="12"/>
      <c r="V456" s="12"/>
      <c r="W456" s="12"/>
      <c r="X456" s="12"/>
      <c r="Y456" s="12"/>
      <c r="Z456" s="12"/>
      <c r="AA456" s="12"/>
      <c r="AB456" s="12"/>
      <c r="AC456" s="12"/>
      <c r="AD456" s="12"/>
      <c r="AE456" s="12"/>
      <c r="AF456" s="12"/>
      <c r="AG456" s="12"/>
      <c r="AH456" s="12"/>
      <c r="AI456" s="12"/>
    </row>
    <row r="457" spans="1:35" s="10" customFormat="1" x14ac:dyDescent="0.25">
      <c r="A457" s="12"/>
      <c r="B457" s="12"/>
      <c r="C457" s="12"/>
      <c r="D457" s="12"/>
      <c r="E457" s="12"/>
      <c r="G457" s="14"/>
      <c r="H457" s="17"/>
      <c r="I457" s="14"/>
      <c r="M457" s="12"/>
      <c r="T457" s="12"/>
      <c r="U457" s="12"/>
      <c r="V457" s="12"/>
      <c r="W457" s="12"/>
      <c r="X457" s="12"/>
      <c r="Y457" s="12"/>
      <c r="Z457" s="12"/>
      <c r="AA457" s="12"/>
      <c r="AB457" s="12"/>
      <c r="AC457" s="12"/>
      <c r="AD457" s="12"/>
      <c r="AE457" s="12"/>
      <c r="AF457" s="12"/>
      <c r="AG457" s="12"/>
      <c r="AH457" s="12"/>
      <c r="AI457" s="12"/>
    </row>
    <row r="458" spans="1:35" s="10" customFormat="1" x14ac:dyDescent="0.25">
      <c r="A458" s="12"/>
      <c r="B458" s="12"/>
      <c r="C458" s="12"/>
      <c r="D458" s="12"/>
      <c r="E458" s="12"/>
      <c r="G458" s="14"/>
      <c r="H458" s="17"/>
      <c r="I458" s="14"/>
      <c r="M458" s="12"/>
      <c r="T458" s="12"/>
      <c r="U458" s="12"/>
      <c r="V458" s="12"/>
      <c r="W458" s="12"/>
      <c r="X458" s="12"/>
      <c r="Y458" s="12"/>
      <c r="Z458" s="12"/>
      <c r="AA458" s="12"/>
      <c r="AB458" s="12"/>
      <c r="AC458" s="12"/>
      <c r="AD458" s="12"/>
      <c r="AE458" s="12"/>
      <c r="AF458" s="12"/>
      <c r="AG458" s="12"/>
      <c r="AH458" s="12"/>
      <c r="AI458" s="12"/>
    </row>
    <row r="459" spans="1:35" s="10" customFormat="1" x14ac:dyDescent="0.25">
      <c r="A459" s="12"/>
      <c r="B459" s="12"/>
      <c r="C459" s="12"/>
      <c r="D459" s="12"/>
      <c r="E459" s="12"/>
      <c r="G459" s="14"/>
      <c r="H459" s="17"/>
      <c r="I459" s="14"/>
      <c r="M459" s="12"/>
      <c r="T459" s="12"/>
      <c r="U459" s="12"/>
      <c r="V459" s="12"/>
      <c r="W459" s="12"/>
      <c r="X459" s="12"/>
      <c r="Y459" s="12"/>
      <c r="Z459" s="12"/>
      <c r="AA459" s="12"/>
      <c r="AB459" s="12"/>
      <c r="AC459" s="12"/>
      <c r="AD459" s="12"/>
      <c r="AE459" s="12"/>
      <c r="AF459" s="12"/>
      <c r="AG459" s="12"/>
      <c r="AH459" s="12"/>
      <c r="AI459" s="12"/>
    </row>
    <row r="460" spans="1:35" s="10" customFormat="1" x14ac:dyDescent="0.25">
      <c r="A460" s="12"/>
      <c r="B460" s="12"/>
      <c r="C460" s="12"/>
      <c r="D460" s="12"/>
      <c r="E460" s="12"/>
      <c r="G460" s="14"/>
      <c r="H460" s="17"/>
      <c r="I460" s="14"/>
      <c r="M460" s="12"/>
      <c r="T460" s="12"/>
      <c r="U460" s="12"/>
      <c r="V460" s="12"/>
      <c r="W460" s="12"/>
      <c r="X460" s="12"/>
      <c r="Y460" s="12"/>
      <c r="Z460" s="12"/>
      <c r="AA460" s="12"/>
      <c r="AB460" s="12"/>
      <c r="AC460" s="12"/>
      <c r="AD460" s="12"/>
      <c r="AE460" s="12"/>
      <c r="AF460" s="12"/>
      <c r="AG460" s="12"/>
      <c r="AH460" s="12"/>
      <c r="AI460" s="12"/>
    </row>
    <row r="461" spans="1:35" s="10" customFormat="1" x14ac:dyDescent="0.25">
      <c r="A461" s="12"/>
      <c r="B461" s="12"/>
      <c r="C461" s="12"/>
      <c r="D461" s="12"/>
      <c r="E461" s="12"/>
      <c r="G461" s="14"/>
      <c r="H461" s="17"/>
      <c r="I461" s="14"/>
      <c r="M461" s="12"/>
      <c r="T461" s="12"/>
      <c r="U461" s="12"/>
      <c r="V461" s="12"/>
      <c r="W461" s="12"/>
      <c r="X461" s="12"/>
      <c r="Y461" s="12"/>
      <c r="Z461" s="12"/>
      <c r="AA461" s="12"/>
      <c r="AB461" s="12"/>
      <c r="AC461" s="12"/>
      <c r="AD461" s="12"/>
      <c r="AE461" s="12"/>
      <c r="AF461" s="12"/>
      <c r="AG461" s="12"/>
      <c r="AH461" s="12"/>
      <c r="AI461" s="12"/>
    </row>
    <row r="462" spans="1:35" s="10" customFormat="1" x14ac:dyDescent="0.25">
      <c r="A462" s="12"/>
      <c r="B462" s="12"/>
      <c r="C462" s="12"/>
      <c r="D462" s="12"/>
      <c r="E462" s="12"/>
      <c r="G462" s="14"/>
      <c r="H462" s="17"/>
      <c r="I462" s="14"/>
      <c r="M462" s="12"/>
      <c r="T462" s="12"/>
      <c r="U462" s="12"/>
      <c r="V462" s="12"/>
      <c r="W462" s="12"/>
      <c r="X462" s="12"/>
      <c r="Y462" s="12"/>
      <c r="Z462" s="12"/>
      <c r="AA462" s="12"/>
      <c r="AB462" s="12"/>
      <c r="AC462" s="12"/>
      <c r="AD462" s="12"/>
      <c r="AE462" s="12"/>
      <c r="AF462" s="12"/>
      <c r="AG462" s="12"/>
      <c r="AH462" s="12"/>
      <c r="AI462" s="12"/>
    </row>
    <row r="463" spans="1:35" s="10" customFormat="1" x14ac:dyDescent="0.25">
      <c r="A463" s="12"/>
      <c r="B463" s="12"/>
      <c r="C463" s="12"/>
      <c r="D463" s="12"/>
      <c r="E463" s="12"/>
      <c r="G463" s="14"/>
      <c r="H463" s="17"/>
      <c r="I463" s="14"/>
      <c r="M463" s="12"/>
      <c r="T463" s="12"/>
      <c r="U463" s="12"/>
      <c r="V463" s="12"/>
      <c r="W463" s="12"/>
      <c r="X463" s="12"/>
      <c r="Y463" s="12"/>
      <c r="Z463" s="12"/>
      <c r="AA463" s="12"/>
      <c r="AB463" s="12"/>
      <c r="AC463" s="12"/>
      <c r="AD463" s="12"/>
      <c r="AE463" s="12"/>
      <c r="AF463" s="12"/>
      <c r="AG463" s="12"/>
      <c r="AH463" s="12"/>
      <c r="AI463" s="12"/>
    </row>
    <row r="464" spans="1:35" s="10" customFormat="1" x14ac:dyDescent="0.25">
      <c r="A464" s="12"/>
      <c r="B464" s="12"/>
      <c r="C464" s="12"/>
      <c r="D464" s="12"/>
      <c r="E464" s="12"/>
      <c r="G464" s="14"/>
      <c r="H464" s="17"/>
      <c r="I464" s="14"/>
      <c r="M464" s="12"/>
      <c r="T464" s="12"/>
      <c r="U464" s="12"/>
      <c r="V464" s="12"/>
      <c r="W464" s="12"/>
      <c r="X464" s="12"/>
      <c r="Y464" s="12"/>
      <c r="Z464" s="12"/>
      <c r="AA464" s="12"/>
      <c r="AB464" s="12"/>
      <c r="AC464" s="12"/>
      <c r="AD464" s="12"/>
      <c r="AE464" s="12"/>
      <c r="AF464" s="12"/>
      <c r="AG464" s="12"/>
      <c r="AH464" s="12"/>
      <c r="AI464" s="12"/>
    </row>
    <row r="465" spans="1:35" s="10" customFormat="1" x14ac:dyDescent="0.25">
      <c r="A465" s="12"/>
      <c r="B465" s="12"/>
      <c r="C465" s="12"/>
      <c r="D465" s="12"/>
      <c r="E465" s="12"/>
      <c r="G465" s="14"/>
      <c r="H465" s="17"/>
      <c r="I465" s="14"/>
      <c r="M465" s="12"/>
      <c r="T465" s="12"/>
      <c r="U465" s="12"/>
      <c r="V465" s="12"/>
      <c r="W465" s="12"/>
      <c r="X465" s="12"/>
      <c r="Y465" s="12"/>
      <c r="Z465" s="12"/>
      <c r="AA465" s="12"/>
      <c r="AB465" s="12"/>
      <c r="AC465" s="12"/>
      <c r="AD465" s="12"/>
      <c r="AE465" s="12"/>
      <c r="AF465" s="12"/>
      <c r="AG465" s="12"/>
      <c r="AH465" s="12"/>
      <c r="AI465" s="12"/>
    </row>
    <row r="466" spans="1:35" s="10" customFormat="1" x14ac:dyDescent="0.25">
      <c r="A466" s="12"/>
      <c r="B466" s="12"/>
      <c r="C466" s="12"/>
      <c r="D466" s="12"/>
      <c r="E466" s="12"/>
      <c r="G466" s="14"/>
      <c r="H466" s="17"/>
      <c r="I466" s="14"/>
      <c r="M466" s="12"/>
      <c r="T466" s="12"/>
      <c r="U466" s="12"/>
      <c r="V466" s="12"/>
      <c r="W466" s="12"/>
      <c r="X466" s="12"/>
      <c r="Y466" s="12"/>
      <c r="Z466" s="12"/>
      <c r="AA466" s="12"/>
      <c r="AB466" s="12"/>
      <c r="AC466" s="12"/>
      <c r="AD466" s="12"/>
      <c r="AE466" s="12"/>
      <c r="AF466" s="12"/>
      <c r="AG466" s="12"/>
      <c r="AH466" s="12"/>
      <c r="AI466" s="12"/>
    </row>
    <row r="467" spans="1:35" s="10" customFormat="1" x14ac:dyDescent="0.25">
      <c r="A467" s="12"/>
      <c r="B467" s="12"/>
      <c r="C467" s="12"/>
      <c r="D467" s="12"/>
      <c r="E467" s="12"/>
      <c r="G467" s="14"/>
      <c r="H467" s="17"/>
      <c r="I467" s="14"/>
      <c r="M467" s="12"/>
      <c r="T467" s="12"/>
      <c r="U467" s="12"/>
      <c r="V467" s="12"/>
      <c r="W467" s="12"/>
      <c r="X467" s="12"/>
      <c r="Y467" s="12"/>
      <c r="Z467" s="12"/>
      <c r="AA467" s="12"/>
      <c r="AB467" s="12"/>
      <c r="AC467" s="12"/>
      <c r="AD467" s="12"/>
      <c r="AE467" s="12"/>
      <c r="AF467" s="12"/>
      <c r="AG467" s="12"/>
      <c r="AH467" s="12"/>
      <c r="AI467" s="12"/>
    </row>
    <row r="468" spans="1:35" s="10" customFormat="1" x14ac:dyDescent="0.25">
      <c r="A468" s="12"/>
      <c r="B468" s="12"/>
      <c r="C468" s="12"/>
      <c r="D468" s="12"/>
      <c r="E468" s="12"/>
      <c r="G468" s="14"/>
      <c r="H468" s="17"/>
      <c r="I468" s="14"/>
      <c r="M468" s="12"/>
      <c r="T468" s="12"/>
      <c r="U468" s="12"/>
      <c r="V468" s="12"/>
      <c r="W468" s="12"/>
      <c r="X468" s="12"/>
      <c r="Y468" s="12"/>
      <c r="Z468" s="12"/>
      <c r="AA468" s="12"/>
      <c r="AB468" s="12"/>
      <c r="AC468" s="12"/>
      <c r="AD468" s="12"/>
      <c r="AE468" s="12"/>
      <c r="AF468" s="12"/>
      <c r="AG468" s="12"/>
      <c r="AH468" s="12"/>
      <c r="AI468" s="12"/>
    </row>
    <row r="469" spans="1:35" s="10" customFormat="1" x14ac:dyDescent="0.25">
      <c r="A469" s="12"/>
      <c r="B469" s="12"/>
      <c r="C469" s="12"/>
      <c r="D469" s="12"/>
      <c r="E469" s="12"/>
      <c r="G469" s="14"/>
      <c r="H469" s="17"/>
      <c r="I469" s="14"/>
      <c r="M469" s="12"/>
      <c r="T469" s="12"/>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2"/>
      <c r="E470" s="12"/>
      <c r="G470" s="14"/>
      <c r="H470" s="17"/>
      <c r="I470" s="14"/>
      <c r="M470" s="12"/>
      <c r="T470" s="12"/>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2"/>
      <c r="E471" s="12"/>
      <c r="G471" s="14"/>
      <c r="H471" s="17"/>
      <c r="I471" s="14"/>
      <c r="M471" s="12"/>
      <c r="T471" s="12"/>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s="12"/>
      <c r="G472" s="14"/>
      <c r="H472" s="17"/>
      <c r="I472" s="14"/>
      <c r="M472" s="12"/>
      <c r="T472" s="1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s="12"/>
      <c r="G473" s="14"/>
      <c r="H473" s="17"/>
      <c r="I473" s="14"/>
      <c r="M473" s="12"/>
      <c r="T473" s="12"/>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8" spans="1:35" s="10" customFormat="1" x14ac:dyDescent="0.25">
      <c r="A488" s="12"/>
      <c r="B488" s="12"/>
      <c r="C488" s="12"/>
      <c r="D488" s="12"/>
      <c r="E488" s="12"/>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25">
      <c r="A499" s="12"/>
      <c r="B499" s="12"/>
      <c r="C499" s="12"/>
      <c r="D499" s="12"/>
      <c r="E499" s="12"/>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25">
      <c r="A500" s="12"/>
      <c r="B500" s="12"/>
      <c r="C500" s="12"/>
      <c r="D500" s="12"/>
      <c r="E500" s="12"/>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25">
      <c r="A501" s="12"/>
      <c r="B501" s="12"/>
      <c r="C501" s="12"/>
      <c r="D501" s="12"/>
      <c r="E501" s="12"/>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25">
      <c r="A502" s="12"/>
      <c r="B502" s="12"/>
      <c r="C502" s="12"/>
      <c r="D502" s="12"/>
      <c r="E502" s="12"/>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I511" s="14"/>
      <c r="M511" s="12"/>
      <c r="T511" s="12"/>
      <c r="U511" s="12"/>
      <c r="V511" s="12"/>
      <c r="W511" s="12"/>
      <c r="X511" s="12"/>
      <c r="Y511" s="12"/>
      <c r="Z511" s="12"/>
      <c r="AA511" s="12"/>
      <c r="AB511" s="12"/>
      <c r="AC511" s="12"/>
      <c r="AD511" s="12"/>
      <c r="AE511" s="12"/>
      <c r="AF511" s="12"/>
      <c r="AG511" s="12"/>
      <c r="AH511" s="12"/>
      <c r="AI511" s="12"/>
    </row>
    <row r="512" spans="1:35" s="10" customFormat="1" x14ac:dyDescent="0.25">
      <c r="A512" s="12"/>
      <c r="B512" s="12"/>
      <c r="C512" s="12"/>
      <c r="D512" s="12"/>
      <c r="E512" s="12"/>
      <c r="I512" s="14"/>
      <c r="M512" s="12"/>
      <c r="T512" s="12"/>
      <c r="U512" s="12"/>
      <c r="V512" s="12"/>
      <c r="W512" s="12"/>
      <c r="X512" s="12"/>
      <c r="Y512" s="12"/>
      <c r="Z512" s="12"/>
      <c r="AA512" s="12"/>
      <c r="AB512" s="12"/>
      <c r="AC512" s="12"/>
      <c r="AD512" s="12"/>
      <c r="AE512" s="12"/>
      <c r="AF512" s="12"/>
      <c r="AG512" s="12"/>
      <c r="AH512" s="12"/>
      <c r="AI512" s="12"/>
    </row>
    <row r="513" spans="1:35" s="10" customFormat="1" x14ac:dyDescent="0.25">
      <c r="A513" s="12"/>
      <c r="B513" s="12"/>
      <c r="C513" s="12"/>
      <c r="D513" s="12"/>
      <c r="E513" s="12"/>
      <c r="I513" s="14"/>
      <c r="M513" s="12"/>
      <c r="T513" s="12"/>
      <c r="U513" s="12"/>
      <c r="V513" s="12"/>
      <c r="W513" s="12"/>
      <c r="X513" s="12"/>
      <c r="Y513" s="12"/>
      <c r="Z513" s="12"/>
      <c r="AA513" s="12"/>
      <c r="AB513" s="12"/>
      <c r="AC513" s="12"/>
      <c r="AD513" s="12"/>
      <c r="AE513" s="12"/>
      <c r="AF513" s="12"/>
      <c r="AG513" s="12"/>
      <c r="AH513" s="12"/>
      <c r="AI513" s="12"/>
    </row>
    <row r="514" spans="1:35" s="10" customFormat="1" x14ac:dyDescent="0.25">
      <c r="A514" s="12"/>
      <c r="B514" s="12"/>
      <c r="C514" s="12"/>
      <c r="D514" s="12"/>
      <c r="E514" s="12"/>
      <c r="I514" s="14"/>
      <c r="M514" s="12"/>
      <c r="T514" s="12"/>
      <c r="U514" s="12"/>
      <c r="V514" s="12"/>
      <c r="W514" s="12"/>
      <c r="X514" s="12"/>
      <c r="Y514" s="12"/>
      <c r="Z514" s="12"/>
      <c r="AA514" s="12"/>
      <c r="AB514" s="12"/>
      <c r="AC514" s="12"/>
      <c r="AD514" s="12"/>
      <c r="AE514" s="12"/>
      <c r="AF514" s="12"/>
      <c r="AG514" s="12"/>
      <c r="AH514" s="12"/>
      <c r="AI514"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2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2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2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0" spans="1:35" s="10" customFormat="1" x14ac:dyDescent="0.25">
      <c r="A870" s="12"/>
      <c r="B870" s="12"/>
      <c r="C870" s="12"/>
      <c r="D870" s="12"/>
      <c r="E870" s="12"/>
      <c r="I870" s="14"/>
      <c r="M870" s="12"/>
      <c r="T870" s="12"/>
      <c r="U870" s="12"/>
      <c r="V870" s="12"/>
      <c r="W870" s="12"/>
      <c r="X870" s="12"/>
      <c r="Y870" s="12"/>
      <c r="Z870" s="12"/>
      <c r="AA870" s="12"/>
      <c r="AB870" s="12"/>
      <c r="AC870" s="12"/>
      <c r="AD870" s="12"/>
      <c r="AE870" s="12"/>
      <c r="AF870" s="12"/>
      <c r="AG870" s="12"/>
      <c r="AH870" s="12"/>
      <c r="AI870" s="12"/>
    </row>
    <row r="871" spans="1:35" s="10" customFormat="1" x14ac:dyDescent="0.25">
      <c r="A871" s="12"/>
      <c r="B871" s="12"/>
      <c r="C871" s="12"/>
      <c r="D871" s="12"/>
      <c r="E871" s="12"/>
      <c r="I871" s="14"/>
      <c r="M871" s="12"/>
      <c r="T871" s="12"/>
      <c r="U871" s="12"/>
      <c r="V871" s="12"/>
      <c r="W871" s="12"/>
      <c r="X871" s="12"/>
      <c r="Y871" s="12"/>
      <c r="Z871" s="12"/>
      <c r="AA871" s="12"/>
      <c r="AB871" s="12"/>
      <c r="AC871" s="12"/>
      <c r="AD871" s="12"/>
      <c r="AE871" s="12"/>
      <c r="AF871" s="12"/>
      <c r="AG871" s="12"/>
      <c r="AH871" s="12"/>
      <c r="AI871" s="12"/>
    </row>
    <row r="872" spans="1:35" s="10" customFormat="1" x14ac:dyDescent="0.25">
      <c r="A872" s="12"/>
      <c r="B872" s="12"/>
      <c r="C872" s="12"/>
      <c r="D872" s="12"/>
      <c r="E872" s="12"/>
      <c r="I872" s="14"/>
      <c r="M872" s="12"/>
      <c r="T872" s="12"/>
      <c r="U872" s="12"/>
      <c r="V872" s="12"/>
      <c r="W872" s="12"/>
      <c r="X872" s="12"/>
      <c r="Y872" s="12"/>
      <c r="Z872" s="12"/>
      <c r="AA872" s="12"/>
      <c r="AB872" s="12"/>
      <c r="AC872" s="12"/>
      <c r="AD872" s="12"/>
      <c r="AE872" s="12"/>
      <c r="AF872" s="12"/>
      <c r="AG872" s="12"/>
      <c r="AH872" s="12"/>
      <c r="AI872"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sheetData>
  <mergeCells count="20">
    <mergeCell ref="T16:T17"/>
    <mergeCell ref="L16:L17"/>
    <mergeCell ref="H16:H17"/>
    <mergeCell ref="P16:P17"/>
    <mergeCell ref="S16:S17"/>
    <mergeCell ref="M16:M17"/>
    <mergeCell ref="N16:N17"/>
    <mergeCell ref="O16:O17"/>
    <mergeCell ref="I16:I17"/>
    <mergeCell ref="J16:J17"/>
    <mergeCell ref="K16:K17"/>
    <mergeCell ref="Q16:Q17"/>
    <mergeCell ref="R16:R17"/>
    <mergeCell ref="F16:F17"/>
    <mergeCell ref="G16:G17"/>
    <mergeCell ref="C16:C17"/>
    <mergeCell ref="B16:B17"/>
    <mergeCell ref="A16:A17"/>
    <mergeCell ref="D16:D17"/>
    <mergeCell ref="E16:E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5" r:id="rId4" name="CommandButton7">
          <controlPr autoLine="0" autoPict="0" r:id="rId5">
            <anchor moveWithCells="1">
              <from>
                <xdr:col>7</xdr:col>
                <xdr:colOff>342900</xdr:colOff>
                <xdr:row>4</xdr:row>
                <xdr:rowOff>19050</xdr:rowOff>
              </from>
              <to>
                <xdr:col>11</xdr:col>
                <xdr:colOff>0</xdr:colOff>
                <xdr:row>5</xdr:row>
                <xdr:rowOff>19050</xdr:rowOff>
              </to>
            </anchor>
          </controlPr>
        </control>
      </mc:Choice>
      <mc:Fallback>
        <control shapeId="22535" r:id="rId4" name="CommandButton7"/>
      </mc:Fallback>
    </mc:AlternateContent>
    <mc:AlternateContent xmlns:mc="http://schemas.openxmlformats.org/markup-compatibility/2006">
      <mc:Choice Requires="x14">
        <control shapeId="22536" r:id="rId6" name="CommandButton8">
          <controlPr defaultSize="0" autoLine="0" r:id="rId7">
            <anchor moveWithCells="1">
              <from>
                <xdr:col>7</xdr:col>
                <xdr:colOff>342900</xdr:colOff>
                <xdr:row>2</xdr:row>
                <xdr:rowOff>0</xdr:rowOff>
              </from>
              <to>
                <xdr:col>11</xdr:col>
                <xdr:colOff>9525</xdr:colOff>
                <xdr:row>3</xdr:row>
                <xdr:rowOff>28575</xdr:rowOff>
              </to>
            </anchor>
          </controlPr>
        </control>
      </mc:Choice>
      <mc:Fallback>
        <control shapeId="22536" r:id="rId6" name="CommandButton8"/>
      </mc:Fallback>
    </mc:AlternateContent>
    <mc:AlternateContent xmlns:mc="http://schemas.openxmlformats.org/markup-compatibility/2006">
      <mc:Choice Requires="x14">
        <control shapeId="22537" r:id="rId8" name="CommandButton2">
          <controlPr autoLine="0" r:id="rId9">
            <anchor moveWithCells="1">
              <from>
                <xdr:col>7</xdr:col>
                <xdr:colOff>333375</xdr:colOff>
                <xdr:row>7</xdr:row>
                <xdr:rowOff>9525</xdr:rowOff>
              </from>
              <to>
                <xdr:col>11</xdr:col>
                <xdr:colOff>9525</xdr:colOff>
                <xdr:row>8</xdr:row>
                <xdr:rowOff>0</xdr:rowOff>
              </to>
            </anchor>
          </controlPr>
        </control>
      </mc:Choice>
      <mc:Fallback>
        <control shapeId="22537" r:id="rId8" name="CommandButton2"/>
      </mc:Fallback>
    </mc:AlternateContent>
    <mc:AlternateContent xmlns:mc="http://schemas.openxmlformats.org/markup-compatibility/2006">
      <mc:Choice Requires="x14">
        <control shapeId="22538" r:id="rId10" name="CommandButton3">
          <controlPr autoLine="0" r:id="rId11">
            <anchor moveWithCells="1">
              <from>
                <xdr:col>7</xdr:col>
                <xdr:colOff>333375</xdr:colOff>
                <xdr:row>9</xdr:row>
                <xdr:rowOff>9525</xdr:rowOff>
              </from>
              <to>
                <xdr:col>11</xdr:col>
                <xdr:colOff>9525</xdr:colOff>
                <xdr:row>10</xdr:row>
                <xdr:rowOff>0</xdr:rowOff>
              </to>
            </anchor>
          </controlPr>
        </control>
      </mc:Choice>
      <mc:Fallback>
        <control shapeId="22538" r:id="rId10"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F17" sqref="F17"/>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38</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184</v>
      </c>
      <c r="D14" s="3">
        <v>3</v>
      </c>
      <c r="E14" t="s">
        <v>185</v>
      </c>
      <c r="F14" t="s">
        <v>186</v>
      </c>
    </row>
    <row r="15" spans="3:6" x14ac:dyDescent="0.25">
      <c r="C15" t="s">
        <v>182</v>
      </c>
      <c r="D15" s="3">
        <v>4</v>
      </c>
      <c r="E15" t="s">
        <v>183</v>
      </c>
      <c r="F15" t="s">
        <v>187</v>
      </c>
    </row>
    <row r="16" spans="3:6" x14ac:dyDescent="0.25">
      <c r="C16" t="s">
        <v>228</v>
      </c>
      <c r="D16" s="3">
        <v>5</v>
      </c>
      <c r="E16" t="s">
        <v>229</v>
      </c>
      <c r="F16" t="s">
        <v>230</v>
      </c>
    </row>
    <row r="17" spans="3:6" x14ac:dyDescent="0.25">
      <c r="C17" t="s">
        <v>196</v>
      </c>
      <c r="D17" s="3">
        <v>6</v>
      </c>
      <c r="E17" t="s">
        <v>87</v>
      </c>
      <c r="F17" t="s">
        <v>202</v>
      </c>
    </row>
    <row r="18" spans="3:6" x14ac:dyDescent="0.25">
      <c r="C18" s="2"/>
      <c r="D18" s="3">
        <v>7</v>
      </c>
    </row>
    <row r="19" spans="3:6" x14ac:dyDescent="0.25">
      <c r="C19"/>
      <c r="D19" s="3">
        <v>8</v>
      </c>
    </row>
    <row r="20" spans="3:6" x14ac:dyDescent="0.25">
      <c r="C20"/>
      <c r="D20" s="3">
        <v>9</v>
      </c>
    </row>
    <row r="21" spans="3:6" x14ac:dyDescent="0.25">
      <c r="D21" s="3">
        <v>10</v>
      </c>
    </row>
    <row r="22" spans="3:6" x14ac:dyDescent="0.25">
      <c r="D22" s="3">
        <v>11</v>
      </c>
    </row>
    <row r="23" spans="3:6" x14ac:dyDescent="0.25">
      <c r="C23"/>
      <c r="D23" s="3">
        <v>12</v>
      </c>
    </row>
    <row r="24" spans="3:6" x14ac:dyDescent="0.25">
      <c r="C24" s="2"/>
      <c r="D24" s="3">
        <v>13</v>
      </c>
    </row>
    <row r="25" spans="3:6" x14ac:dyDescent="0.25">
      <c r="D25" s="3">
        <v>14</v>
      </c>
    </row>
    <row r="26" spans="3:6" x14ac:dyDescent="0.25">
      <c r="C26"/>
      <c r="D26" s="3">
        <v>15</v>
      </c>
    </row>
    <row r="27" spans="3:6" x14ac:dyDescent="0.25">
      <c r="C27"/>
      <c r="D27" s="3">
        <v>16</v>
      </c>
    </row>
    <row r="28" spans="3:6" x14ac:dyDescent="0.25">
      <c r="C28"/>
      <c r="D28" s="3">
        <v>17</v>
      </c>
    </row>
    <row r="29" spans="3:6" x14ac:dyDescent="0.25">
      <c r="C29"/>
      <c r="D29" s="3">
        <v>18</v>
      </c>
    </row>
    <row r="30" spans="3:6" x14ac:dyDescent="0.25">
      <c r="C30"/>
      <c r="D30" s="3">
        <v>19</v>
      </c>
    </row>
    <row r="31" spans="3:6" x14ac:dyDescent="0.25">
      <c r="C31"/>
      <c r="D31" s="3">
        <v>20</v>
      </c>
    </row>
    <row r="32" spans="3:6"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53</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44</v>
      </c>
      <c r="D51" s="5">
        <v>0</v>
      </c>
      <c r="E51" t="s">
        <v>54</v>
      </c>
      <c r="F51" t="s">
        <v>90</v>
      </c>
    </row>
    <row r="52" spans="3:6" x14ac:dyDescent="0.25">
      <c r="C52" t="s">
        <v>48</v>
      </c>
      <c r="D52" s="5">
        <v>1</v>
      </c>
      <c r="E52" t="s">
        <v>55</v>
      </c>
      <c r="F52" t="s">
        <v>91</v>
      </c>
    </row>
    <row r="53" spans="3:6" x14ac:dyDescent="0.25">
      <c r="C53" t="s">
        <v>49</v>
      </c>
      <c r="D53" s="5">
        <v>2</v>
      </c>
      <c r="E53" t="s">
        <v>56</v>
      </c>
      <c r="F53" t="s">
        <v>98</v>
      </c>
    </row>
    <row r="54" spans="3:6" x14ac:dyDescent="0.25">
      <c r="C54" t="s">
        <v>116</v>
      </c>
      <c r="D54" s="5">
        <v>3</v>
      </c>
      <c r="E54" t="s">
        <v>57</v>
      </c>
      <c r="F54" t="s">
        <v>99</v>
      </c>
    </row>
    <row r="55" spans="3:6" x14ac:dyDescent="0.25">
      <c r="C55" t="s">
        <v>114</v>
      </c>
      <c r="D55" s="5">
        <v>5</v>
      </c>
      <c r="E55" t="s">
        <v>115</v>
      </c>
      <c r="F55" t="s">
        <v>120</v>
      </c>
    </row>
    <row r="56" spans="3:6" x14ac:dyDescent="0.25">
      <c r="C56"/>
      <c r="D56" s="7" t="s">
        <v>88</v>
      </c>
      <c r="E56" t="s">
        <v>89</v>
      </c>
      <c r="F56" t="s">
        <v>52</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58</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45</v>
      </c>
      <c r="D69" s="3">
        <v>0</v>
      </c>
      <c r="E69" t="s">
        <v>59</v>
      </c>
      <c r="F69" t="s">
        <v>92</v>
      </c>
    </row>
    <row r="70" spans="3:6" x14ac:dyDescent="0.25">
      <c r="C70" t="s">
        <v>51</v>
      </c>
      <c r="D70" s="3">
        <v>1</v>
      </c>
      <c r="E70" t="s">
        <v>60</v>
      </c>
      <c r="F70" t="s">
        <v>93</v>
      </c>
    </row>
    <row r="71" spans="3:6" x14ac:dyDescent="0.25">
      <c r="C71" t="s">
        <v>50</v>
      </c>
      <c r="D71" s="3">
        <v>2</v>
      </c>
      <c r="E71" t="s">
        <v>61</v>
      </c>
      <c r="F71" t="s">
        <v>94</v>
      </c>
    </row>
    <row r="72" spans="3:6" x14ac:dyDescent="0.25">
      <c r="C72" t="s">
        <v>47</v>
      </c>
      <c r="D72" s="3">
        <v>3</v>
      </c>
      <c r="E72" t="s">
        <v>62</v>
      </c>
      <c r="F72" t="s">
        <v>95</v>
      </c>
    </row>
    <row r="73" spans="3:6" x14ac:dyDescent="0.25">
      <c r="C73" t="s">
        <v>131</v>
      </c>
      <c r="D73" s="3">
        <v>3</v>
      </c>
      <c r="E73" t="s">
        <v>132</v>
      </c>
      <c r="F73" t="s">
        <v>133</v>
      </c>
    </row>
    <row r="74" spans="3:6" x14ac:dyDescent="0.25">
      <c r="C74"/>
      <c r="D74" s="6" t="s">
        <v>96</v>
      </c>
      <c r="E74" t="s">
        <v>89</v>
      </c>
      <c r="F74" t="s">
        <v>52</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69</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70</v>
      </c>
      <c r="D105" s="3">
        <v>0</v>
      </c>
      <c r="E105" t="s">
        <v>75</v>
      </c>
      <c r="F105" t="s">
        <v>76</v>
      </c>
    </row>
    <row r="106" spans="3:6" x14ac:dyDescent="0.25">
      <c r="C106" s="5" t="s">
        <v>86</v>
      </c>
      <c r="D106" s="3">
        <v>1</v>
      </c>
      <c r="E106" t="s">
        <v>77</v>
      </c>
      <c r="F106" t="s">
        <v>78</v>
      </c>
    </row>
    <row r="107" spans="3:6" x14ac:dyDescent="0.25">
      <c r="C107" s="5" t="s">
        <v>87</v>
      </c>
      <c r="D107" s="3">
        <v>2</v>
      </c>
      <c r="E107" t="s">
        <v>79</v>
      </c>
      <c r="F107" t="s">
        <v>97</v>
      </c>
    </row>
    <row r="108" spans="3:6" x14ac:dyDescent="0.25">
      <c r="C108" s="5" t="s">
        <v>23</v>
      </c>
      <c r="D108" s="3">
        <v>3</v>
      </c>
      <c r="E108" t="s">
        <v>68</v>
      </c>
      <c r="F108" t="s">
        <v>84</v>
      </c>
    </row>
    <row r="109" spans="3:6" x14ac:dyDescent="0.25">
      <c r="C109" s="5" t="s">
        <v>71</v>
      </c>
      <c r="D109" s="3">
        <v>4</v>
      </c>
      <c r="E109" t="s">
        <v>64</v>
      </c>
      <c r="F109" t="s">
        <v>80</v>
      </c>
    </row>
    <row r="110" spans="3:6" x14ac:dyDescent="0.25">
      <c r="C110" s="5" t="s">
        <v>72</v>
      </c>
      <c r="D110" s="3">
        <v>5</v>
      </c>
      <c r="E110" t="s">
        <v>65</v>
      </c>
      <c r="F110" t="s">
        <v>81</v>
      </c>
    </row>
    <row r="111" spans="3:6" x14ac:dyDescent="0.25">
      <c r="C111" s="5" t="s">
        <v>73</v>
      </c>
      <c r="D111" s="3">
        <v>6</v>
      </c>
      <c r="E111" t="s">
        <v>66</v>
      </c>
      <c r="F111" t="s">
        <v>82</v>
      </c>
    </row>
    <row r="112" spans="3:6" x14ac:dyDescent="0.25">
      <c r="C112" s="5" t="s">
        <v>74</v>
      </c>
      <c r="D112" s="3">
        <v>7</v>
      </c>
      <c r="E112" t="s">
        <v>67</v>
      </c>
      <c r="F112" t="s">
        <v>83</v>
      </c>
    </row>
    <row r="113" spans="3:6" x14ac:dyDescent="0.25">
      <c r="D113" s="6" t="s">
        <v>40</v>
      </c>
      <c r="E113" t="s">
        <v>85</v>
      </c>
      <c r="F113" t="s">
        <v>52</v>
      </c>
    </row>
    <row r="119" spans="3:6" ht="21" x14ac:dyDescent="0.35">
      <c r="C119" s="1" t="s">
        <v>103</v>
      </c>
    </row>
    <row r="124" spans="3:6" ht="15.75" x14ac:dyDescent="0.25">
      <c r="D124" s="4" t="s">
        <v>43</v>
      </c>
      <c r="E124" s="4" t="s">
        <v>102</v>
      </c>
      <c r="F124" s="4" t="s">
        <v>107</v>
      </c>
    </row>
    <row r="125" spans="3:6" x14ac:dyDescent="0.25">
      <c r="D125" s="3">
        <v>0</v>
      </c>
      <c r="E125" t="s">
        <v>70</v>
      </c>
      <c r="F125" t="s">
        <v>121</v>
      </c>
    </row>
    <row r="126" spans="3:6" x14ac:dyDescent="0.25">
      <c r="D126" s="3">
        <v>1</v>
      </c>
      <c r="E126" t="s">
        <v>87</v>
      </c>
      <c r="F126" t="s">
        <v>122</v>
      </c>
    </row>
    <row r="127" spans="3:6" x14ac:dyDescent="0.25">
      <c r="D127" s="3">
        <v>2</v>
      </c>
      <c r="E127" t="s">
        <v>104</v>
      </c>
      <c r="F127" t="s">
        <v>108</v>
      </c>
    </row>
    <row r="128" spans="3:6" x14ac:dyDescent="0.25">
      <c r="D128" s="3">
        <v>3</v>
      </c>
      <c r="E128" t="s">
        <v>104</v>
      </c>
      <c r="F128" t="s">
        <v>109</v>
      </c>
    </row>
    <row r="129" spans="3:6" x14ac:dyDescent="0.25">
      <c r="D129" s="3">
        <v>4</v>
      </c>
      <c r="E129" t="s">
        <v>105</v>
      </c>
      <c r="F129" t="s">
        <v>112</v>
      </c>
    </row>
    <row r="130" spans="3:6" x14ac:dyDescent="0.25">
      <c r="D130" s="3">
        <v>5</v>
      </c>
      <c r="E130" t="s">
        <v>105</v>
      </c>
      <c r="F130" t="s">
        <v>112</v>
      </c>
    </row>
    <row r="131" spans="3:6" x14ac:dyDescent="0.25">
      <c r="D131" s="3">
        <v>6</v>
      </c>
      <c r="E131" t="s">
        <v>106</v>
      </c>
      <c r="F131" t="s">
        <v>110</v>
      </c>
    </row>
    <row r="132" spans="3:6" x14ac:dyDescent="0.25">
      <c r="D132" s="3">
        <v>7</v>
      </c>
      <c r="E132" t="s">
        <v>106</v>
      </c>
      <c r="F132" t="s">
        <v>110</v>
      </c>
    </row>
    <row r="133" spans="3:6" x14ac:dyDescent="0.25">
      <c r="D133" s="3">
        <v>8</v>
      </c>
      <c r="E133" t="s">
        <v>41</v>
      </c>
      <c r="F133" t="s">
        <v>111</v>
      </c>
    </row>
    <row r="134" spans="3:6" x14ac:dyDescent="0.25">
      <c r="D134" s="3">
        <v>9</v>
      </c>
      <c r="E134" t="s">
        <v>41</v>
      </c>
      <c r="F134" t="s">
        <v>111</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Bartovský Jan</cp:lastModifiedBy>
  <dcterms:created xsi:type="dcterms:W3CDTF">2006-09-16T00:00:00Z</dcterms:created>
  <dcterms:modified xsi:type="dcterms:W3CDTF">2025-07-21T12:34:26Z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