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marti\Desktop\Jablotron\AMP\FW\Documents\"/>
    </mc:Choice>
  </mc:AlternateContent>
  <xr:revisionPtr revIDLastSave="0" documentId="13_ncr:1_{ED76AC10-21F9-49DA-B732-D689A4DDC3F2}" xr6:coauthVersionLast="47" xr6:coauthVersionMax="47" xr10:uidLastSave="{00000000-0000-0000-0000-000000000000}"/>
  <bookViews>
    <workbookView xWindow="-60" yWindow="-16320" windowWidth="29040" windowHeight="1584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71" i="25" l="1"/>
  <c r="K72" i="25"/>
  <c r="K73" i="25"/>
  <c r="K74" i="25"/>
  <c r="K70" i="25"/>
  <c r="K69" i="25"/>
  <c r="L69" i="25"/>
  <c r="K66" i="25"/>
  <c r="K67" i="25"/>
  <c r="K68" i="25"/>
  <c r="I67" i="25" l="1"/>
  <c r="I68" i="25" s="1"/>
  <c r="L65" i="25"/>
  <c r="L66" i="25"/>
  <c r="L67" i="25"/>
  <c r="L68" i="25"/>
  <c r="I61" i="25"/>
  <c r="I62" i="25" s="1"/>
  <c r="L60" i="25"/>
  <c r="L64" i="25"/>
  <c r="L57" i="25"/>
  <c r="K54" i="25"/>
  <c r="L54" i="25"/>
  <c r="I54" i="25"/>
  <c r="I55" i="25" s="1"/>
  <c r="I56" i="25" s="1"/>
  <c r="I57" i="25" s="1"/>
  <c r="L31" i="25"/>
  <c r="F10" i="25"/>
  <c r="F11" i="25"/>
  <c r="F9" i="25"/>
  <c r="F8" i="25"/>
  <c r="K57" i="25" l="1"/>
  <c r="I58" i="25"/>
  <c r="I59" i="25" s="1"/>
  <c r="I60" i="25" s="1"/>
  <c r="K55" i="25"/>
  <c r="K56" i="25"/>
  <c r="I63" i="25" l="1"/>
  <c r="I64" i="25" s="1"/>
  <c r="K60" i="25"/>
  <c r="I65" i="25"/>
  <c r="K64" i="25"/>
  <c r="L30" i="25"/>
  <c r="K45" i="25"/>
  <c r="K49" i="25"/>
  <c r="L50" i="25"/>
  <c r="I50" i="25"/>
  <c r="K50" i="25" s="1"/>
  <c r="L49" i="25"/>
  <c r="L45" i="25"/>
  <c r="L29" i="25"/>
  <c r="I66" i="25" l="1"/>
  <c r="K65" i="25"/>
  <c r="L41" i="25"/>
  <c r="L40" i="25"/>
  <c r="L39" i="25"/>
  <c r="L38" i="25"/>
  <c r="L36" i="25"/>
  <c r="L35" i="25"/>
  <c r="L34" i="25"/>
  <c r="L33" i="25"/>
  <c r="L28" i="25"/>
  <c r="L27" i="25"/>
  <c r="L20" i="25"/>
  <c r="L19" i="25"/>
  <c r="L18" i="25"/>
  <c r="K38" i="25"/>
  <c r="K33" i="25"/>
  <c r="I39" i="25" l="1"/>
  <c r="I40" i="25" l="1"/>
  <c r="K39" i="25"/>
  <c r="I41" i="25" l="1"/>
  <c r="K41" i="25" s="1"/>
  <c r="K40" i="25"/>
  <c r="I18" i="25" l="1"/>
  <c r="F7" i="25"/>
  <c r="F12" i="25"/>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8" i="25"/>
  <c r="I30" i="25" l="1"/>
  <c r="K29" i="25"/>
  <c r="K30" i="25" l="1"/>
  <c r="I31" i="25"/>
  <c r="K31" i="25" s="1"/>
</calcChain>
</file>

<file path=xl/sharedStrings.xml><?xml version="1.0" encoding="utf-8"?>
<sst xmlns="http://schemas.openxmlformats.org/spreadsheetml/2006/main" count="431" uniqueCount="277">
  <si>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</si>
  <si>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</si>
  <si>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</si>
  <si>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</si>
  <si>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</si>
  <si>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</si>
  <si>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</si>
  <si>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</si>
  <si>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</si>
  <si>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</si>
  <si>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</si>
  <si>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</si>
  <si>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</si>
  <si>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</si>
  <si>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</si>
  <si>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</si>
  <si>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</si>
  <si>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</si>
  <si>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</si>
  <si>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</si>
  <si>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</si>
  <si>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</si>
  <si>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</si>
  <si>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</si>
  <si>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</si>
  <si>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</si>
  <si>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</si>
  <si>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</si>
  <si>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</si>
  <si>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</si>
  <si>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</si>
  <si>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</si>
  <si>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</si>
  <si>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</si>
  <si>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</si>
  <si>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</si>
  <si>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</si>
  <si>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</si>
  <si>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</si>
  <si>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</si>
  <si>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</si>
  <si>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</si>
  <si>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</si>
  <si>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</si>
  <si>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</si>
  <si>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</si>
  <si>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</si>
  <si>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</si>
  <si>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</si>
  <si>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</si>
  <si>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</si>
  <si>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</si>
  <si>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</si>
  <si>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</si>
  <si>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</si>
  <si>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</si>
  <si>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</si>
  <si>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</si>
  <si>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</si>
  <si>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</si>
  <si>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</si>
  <si>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</si>
  <si>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</si>
  <si>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</si>
  <si>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</si>
  <si>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</si>
  <si>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</si>
  <si>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</si>
  <si>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</si>
  <si>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</si>
  <si>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</si>
  <si>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</si>
  <si>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</si>
  <si>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</si>
  <si>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</si>
  <si>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</si>
  <si>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</si>
  <si>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</si>
  <si>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</si>
  <si>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</si>
  <si>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</si>
  <si>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</si>
  <si>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</si>
  <si>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</si>
  <si>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</si>
  <si>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</si>
  <si>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</si>
  <si>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</si>
  <si>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</si>
  <si>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</si>
  <si>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</si>
  <si>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</si>
  <si>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</si>
  <si>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</si>
  <si>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</si>
  <si>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</si>
  <si>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</si>
  <si>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</si>
  <si>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</si>
  <si>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</si>
  <si>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</si>
  <si>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</si>
  <si>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</si>
  <si>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</si>
  <si>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</si>
  <si>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</si>
  <si>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</si>
  <si>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</si>
  <si>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</si>
  <si>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</si>
  <si>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</si>
  <si>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</si>
  <si>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</si>
  <si>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</si>
  <si>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</si>
  <si>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</si>
  <si>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</si>
  <si>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</si>
  <si>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</si>
  <si>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</si>
  <si>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</si>
  <si>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</si>
  <si>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</si>
  <si>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</si>
  <si>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</si>
  <si>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</si>
  <si>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</si>
  <si>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</si>
  <si>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</si>
  <si>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</si>
  <si>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</si>
  <si>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</si>
  <si>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</si>
  <si>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</si>
  <si>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</si>
  <si>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</si>
  <si>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</si>
  <si>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</si>
  <si>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</si>
  <si>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</si>
  <si>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</si>
  <si>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</si>
  <si>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</si>
  <si>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</si>
  <si>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</si>
  <si>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</si>
  <si>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</si>
  <si>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</si>
  <si>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</si>
  <si>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</si>
  <si>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</si>
  <si>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</si>
  <si>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</si>
  <si>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</si>
  <si>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</si>
  <si>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</si>
  <si>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</si>
  <si>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</si>
  <si>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</si>
  <si>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</si>
  <si>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</si>
  <si>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</si>
  <si>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</si>
  <si>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</si>
  <si>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</si>
  <si>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</si>
  <si>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</si>
  <si>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</si>
  <si>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</si>
  <si>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</si>
  <si>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</si>
  <si>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</si>
  <si>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</si>
  <si>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</si>
  <si>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</si>
  <si>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</si>
  <si>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</si>
  <si>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</si>
  <si>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</si>
  <si>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</si>
  <si>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</si>
  <si>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</si>
  <si>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</si>
  <si>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</si>
  <si>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</si>
  <si>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</si>
  <si>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</si>
  <si>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</si>
  <si>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</si>
  <si>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</si>
  <si>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</si>
  <si>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</si>
  <si>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</si>
  <si>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</si>
  <si>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</si>
  <si>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</si>
  <si>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</si>
  <si>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</si>
  <si>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</si>
  <si>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</si>
  <si>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</si>
  <si>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</si>
  <si>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</si>
  <si>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Error code</t>
  </si>
  <si>
    <t>Set calibration resistance values to all channels.
Value 0 - calibration disabled</t>
  </si>
  <si>
    <t>ms</t>
  </si>
  <si>
    <t>TICK</t>
  </si>
  <si>
    <t>Tick</t>
  </si>
  <si>
    <t>Internal millisecond tick</t>
  </si>
  <si>
    <t>0xF</t>
  </si>
  <si>
    <t>ENABLE</t>
  </si>
  <si>
    <t>Enable detection</t>
  </si>
  <si>
    <t>HA 100</t>
  </si>
  <si>
    <t>Enable phase detection and measuring.</t>
  </si>
  <si>
    <t>PH_EN_DISABLE</t>
  </si>
  <si>
    <t>Disable</t>
  </si>
  <si>
    <t>Phase detector does not evaluate state of Lines</t>
  </si>
  <si>
    <t>PH_EN_ENABLE</t>
  </si>
  <si>
    <t>Enable</t>
  </si>
  <si>
    <t>Phase detector detects all Line wires and evaluate zero crossing and time measurement</t>
  </si>
  <si>
    <t>D:\work\gitlab\fw-phase-det-2\Documents\txts\PhaseDet2_Modbus.json</t>
  </si>
  <si>
    <t>D:\work\gitlab\fw-amplif-filter\Documents\txts\AmplifFilter_registers.json</t>
  </si>
  <si>
    <t>D:\work\gitlab\fw-amplif-filter\Documents\txts\AmplifFilterRegs.py</t>
  </si>
  <si>
    <t>MEAS</t>
  </si>
  <si>
    <t>MEASUREMENT</t>
  </si>
  <si>
    <t>Analog signal measurement</t>
  </si>
  <si>
    <t>MEAS_MD_RAW</t>
  </si>
  <si>
    <t>MEAS_MD_FILTER</t>
  </si>
  <si>
    <t>Mode of measurement</t>
  </si>
  <si>
    <t>RAW</t>
  </si>
  <si>
    <t>AVERAGE</t>
  </si>
  <si>
    <t>THRESHLOD</t>
  </si>
  <si>
    <t>HYSTERESIS</t>
  </si>
  <si>
    <t>TRIGGER</t>
  </si>
  <si>
    <t>MEAS_TRG_NONE</t>
  </si>
  <si>
    <t>MEAS_TRG_RISING</t>
  </si>
  <si>
    <t>MEAS_TRG_FALLING</t>
  </si>
  <si>
    <t>Raw value</t>
  </si>
  <si>
    <t>Average value</t>
  </si>
  <si>
    <t>Filtered value</t>
  </si>
  <si>
    <t>Trigger condition</t>
  </si>
  <si>
    <t>No trigger</t>
  </si>
  <si>
    <t>TBD</t>
  </si>
  <si>
    <t>Threshold</t>
  </si>
  <si>
    <t>Hysteresis</t>
  </si>
  <si>
    <t>V</t>
  </si>
  <si>
    <t>Rising edge</t>
  </si>
  <si>
    <t>Falling edge</t>
  </si>
  <si>
    <t>Preprocessing mode of signal measurement</t>
  </si>
  <si>
    <t>No filtering</t>
  </si>
  <si>
    <t>FIR filtering</t>
  </si>
  <si>
    <t>Disable triggering</t>
  </si>
  <si>
    <t>Value rising above threshold + hysteresis</t>
  </si>
  <si>
    <t>Value falling below threshold - hysteresis</t>
  </si>
  <si>
    <t>Raw value of analog signal</t>
  </si>
  <si>
    <t>Average value of analgo signal</t>
  </si>
  <si>
    <t>Threshold value for triggering</t>
  </si>
  <si>
    <t>Hysteresis value for triggering</t>
  </si>
  <si>
    <t>GAIN</t>
  </si>
  <si>
    <t>Amplifier gain</t>
  </si>
  <si>
    <t>GAIN_1</t>
  </si>
  <si>
    <t>GAIN_3</t>
  </si>
  <si>
    <t>GAIN_10</t>
  </si>
  <si>
    <t>GAIN_20</t>
  </si>
  <si>
    <t>Gain 1x</t>
  </si>
  <si>
    <t>Gain 3x</t>
  </si>
  <si>
    <t>Gain 10x</t>
  </si>
  <si>
    <t>Gain 20x</t>
  </si>
  <si>
    <t>OFFSET</t>
  </si>
  <si>
    <t>MEAS_OFFSET</t>
  </si>
  <si>
    <t>Offset servo</t>
  </si>
  <si>
    <t>Enable DC servo for offset compensation</t>
  </si>
  <si>
    <t>C:\Users\marti\Desktop\Jablotron\AMP\FW\Documents\txts\reg_map.c</t>
  </si>
  <si>
    <t>C:\Users\marti\Desktop\Jablotron\AMP\FW\Documents\txts\AmplifFilter_Define.txt</t>
  </si>
  <si>
    <t>C:\Users\marti\Desktop\Jablotron\AMP\FW\Documents\txts\AmplifFilter_Registers.json</t>
  </si>
  <si>
    <t>C:\Users\marti\Desktop\Jablotron\AMP\FW\Documents\txts\AmplifFilter_Storage.txt</t>
  </si>
  <si>
    <t>C:\Users\marti\Desktop\Jablotron\AMP\FW\Documents\txts\AmplifFilter_Factory.txt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</si>
</sst>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15"/>
  <sheetViews>
    <sheetView tabSelected="1" topLeftCell="B1" zoomScaleNormal="100" workbookViewId="0">
      <selection activeCell="Q3" sqref="Q3"/>
    </sheetView>
  </sheetViews>
  <sheetFormatPr defaultColWidth="9.140625" defaultRowHeight="15" x14ac:dyDescent="0.25"/>
  <cols>
    <col min="1" max="1" width="2.28515625" style="12" customWidth="1"/>
    <col min="2" max="3" width="2.140625" style="12" customWidth="1"/>
    <col min="4" max="4" width="1.5703125" style="12" customWidth="1"/>
    <col min="5" max="5" width="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32"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272</v>
      </c>
      <c r="T3" s="31"/>
    </row>
    <row r="4" spans="1:26" ht="24.95" customHeight="1" x14ac:dyDescent="0.25">
      <c r="D4" s="31" t="s">
        <v>18</v>
      </c>
      <c r="E4" s="31"/>
      <c r="F4" s="31" t="s">
        <v>113</v>
      </c>
      <c r="J4" s="3" t="s">
        <v>1</v>
      </c>
      <c r="K4" s="9" t="s">
        <v>5</v>
      </c>
      <c r="L4" s="8" t="s">
        <v>273</v>
      </c>
      <c r="M4" s="11"/>
      <c r="U4" s="12" t="s">
        <v>1</v>
      </c>
      <c r="Z4" s="10"/>
    </row>
    <row r="5" spans="1:26" ht="24.95" customHeight="1" x14ac:dyDescent="0.25">
      <c r="D5" s="31" t="s">
        <v>19</v>
      </c>
      <c r="E5" s="31"/>
      <c r="F5" s="31" t="s">
        <v>20</v>
      </c>
      <c r="J5" s="3" t="s">
        <v>1</v>
      </c>
      <c r="K5" s="9" t="s">
        <v>100</v>
      </c>
      <c r="L5" s="8" t="s">
        <v>274</v>
      </c>
      <c r="M5" s="11"/>
      <c r="U5" s="12" t="s">
        <v>1</v>
      </c>
      <c r="Z5" s="10"/>
    </row>
    <row r="6" spans="1:26" ht="24.95" customHeight="1" x14ac:dyDescent="0.25">
      <c r="D6" s="31" t="s">
        <v>63</v>
      </c>
      <c r="E6" s="13"/>
      <c r="F6" s="32">
        <v>1</v>
      </c>
      <c r="J6" s="3" t="s">
        <v>1</v>
      </c>
      <c r="K6" s="9" t="s">
        <v>17</v>
      </c>
      <c r="L6" s="8" t="s">
        <v>275</v>
      </c>
      <c r="M6" s="11"/>
      <c r="U6" s="12" t="s">
        <v>1</v>
      </c>
      <c r="Z6" s="10"/>
    </row>
    <row r="7" spans="1:26" ht="24.95" customHeight="1" x14ac:dyDescent="0.25">
      <c r="D7" s="31" t="s">
        <v>143</v>
      </c>
      <c r="E7" s="13"/>
      <c r="F7" s="31" t="str">
        <f>GetWorkName()</f>
        <v>AmplifFilter</v>
      </c>
      <c r="J7" s="3" t="s">
        <v>1</v>
      </c>
      <c r="K7" s="9" t="s">
        <v>21</v>
      </c>
      <c r="L7" s="8" t="s">
        <v>276</v>
      </c>
      <c r="M7" s="11"/>
      <c r="U7" s="12" t="s">
        <v>1</v>
      </c>
      <c r="Z7" s="10"/>
    </row>
    <row r="8" spans="1:26" ht="24.95" customHeight="1" x14ac:dyDescent="0.25">
      <c r="D8" s="31" t="s">
        <v>117</v>
      </c>
      <c r="E8" s="13"/>
      <c r="F8" s="31" t="str">
        <f>GetPath()&amp;"\..\Firmware\AmplifFilter-App\Core\Common\"</f>
        <v>C:\Users\marti\Desktop\Jablotron\AMP\FW\Documents\..\Firmware\AmplifFilter-App\Core\Common\</v>
      </c>
      <c r="J8" s="3" t="s">
        <v>1</v>
      </c>
      <c r="K8" s="9" t="s">
        <v>145</v>
      </c>
      <c r="L8" s="8" t="s">
        <v>220</v>
      </c>
      <c r="M8" s="11"/>
      <c r="U8" s="12" t="s">
        <v>1</v>
      </c>
      <c r="Z8" s="10"/>
    </row>
    <row r="9" spans="1:26" ht="24.95" customHeight="1" x14ac:dyDescent="0.25">
      <c r="D9" s="31" t="s">
        <v>148</v>
      </c>
      <c r="E9" s="13"/>
      <c r="F9" s="31" t="str">
        <f>GetPath()&amp;"\..\Firmware\AmplifFilter-App\Core\Common\"</f>
        <v>C:\Users\marti\Desktop\Jablotron\AMP\FW\Documents\..\Firmware\AmplifFilter-App\Core\Common\</v>
      </c>
      <c r="J9" s="3"/>
      <c r="K9" s="9" t="s">
        <v>1</v>
      </c>
      <c r="L9" s="8" t="s">
        <v>222</v>
      </c>
      <c r="M9" s="11"/>
      <c r="Z9" s="10"/>
    </row>
    <row r="10" spans="1:26" ht="24.95" customHeight="1" x14ac:dyDescent="0.25">
      <c r="D10" s="31" t="s">
        <v>153</v>
      </c>
      <c r="E10" s="13"/>
      <c r="F10" s="31" t="str">
        <f>GetPath()&amp;"\..\Tests\AmplifFilter\"</f>
        <v>C:\Users\marti\Desktop\Jablotron\AMP\FW\Documents\..\Tests\AmplifFilter\</v>
      </c>
      <c r="K10" s="9" t="s">
        <v>154</v>
      </c>
      <c r="L10" s="8" t="s">
        <v>221</v>
      </c>
      <c r="M10" s="11"/>
    </row>
    <row r="11" spans="1:26" ht="24.75" customHeight="1" x14ac:dyDescent="0.25">
      <c r="D11" s="31" t="s">
        <v>155</v>
      </c>
      <c r="F11" s="31" t="str">
        <f>GetPath()&amp;"\..\Software\SBD\RegMap\json.txt"</f>
        <v>C:\Users\marti\Desktop\Jablotron\AMP\FW\Documents\..\Software\SBD\RegMap\json.txt</v>
      </c>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4"/>
      <c r="B16" s="54"/>
      <c r="C16" s="53"/>
      <c r="D16" s="43" t="s">
        <v>8</v>
      </c>
      <c r="E16" s="56" t="s">
        <v>33</v>
      </c>
      <c r="F16" s="45" t="s">
        <v>10</v>
      </c>
      <c r="G16" s="45" t="s">
        <v>39</v>
      </c>
      <c r="H16" s="45" t="s">
        <v>11</v>
      </c>
      <c r="I16" s="43" t="s">
        <v>0</v>
      </c>
      <c r="J16" s="45" t="s">
        <v>13</v>
      </c>
      <c r="K16" s="43" t="s">
        <v>16</v>
      </c>
      <c r="L16" s="43" t="s">
        <v>2</v>
      </c>
      <c r="M16" s="50" t="s">
        <v>134</v>
      </c>
      <c r="N16" s="45" t="s">
        <v>14</v>
      </c>
      <c r="O16" s="47" t="s">
        <v>118</v>
      </c>
      <c r="P16" s="47" t="s">
        <v>119</v>
      </c>
      <c r="Q16" s="47" t="s">
        <v>123</v>
      </c>
      <c r="R16" s="47" t="s">
        <v>149</v>
      </c>
      <c r="S16" s="49" t="s">
        <v>101</v>
      </c>
      <c r="T16" s="41" t="s">
        <v>4</v>
      </c>
    </row>
    <row r="17" spans="1:20" ht="15" customHeight="1" x14ac:dyDescent="0.25">
      <c r="A17" s="55"/>
      <c r="B17" s="55"/>
      <c r="C17" s="53"/>
      <c r="D17" s="44"/>
      <c r="E17" s="42"/>
      <c r="F17" s="46"/>
      <c r="G17" s="46"/>
      <c r="H17" s="46"/>
      <c r="I17" s="44"/>
      <c r="J17" s="46"/>
      <c r="K17" s="44"/>
      <c r="L17" s="44"/>
      <c r="M17" s="51"/>
      <c r="N17" s="44"/>
      <c r="O17" s="48"/>
      <c r="P17" s="48"/>
      <c r="Q17" s="52"/>
      <c r="R17" s="52"/>
      <c r="S17" s="48"/>
      <c r="T17" s="42"/>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1"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209</v>
      </c>
      <c r="Q29" s="29"/>
      <c r="R29" s="29"/>
      <c r="T29" t="s">
        <v>193</v>
      </c>
    </row>
    <row r="30" spans="1:20" x14ac:dyDescent="0.25">
      <c r="A30" s="34"/>
      <c r="D30" s="14"/>
      <c r="E30" s="2" t="s">
        <v>41</v>
      </c>
      <c r="F30" s="3" t="s">
        <v>32</v>
      </c>
      <c r="G30" s="5" t="s">
        <v>48</v>
      </c>
      <c r="H30" s="18" t="s">
        <v>50</v>
      </c>
      <c r="I30" s="14">
        <f t="shared" si="0"/>
        <v>22</v>
      </c>
      <c r="J30" s="29">
        <v>2</v>
      </c>
      <c r="K30" s="10" t="str">
        <f xml:space="preserve"> IFERROR("0x" &amp; DEC2HEX(VLOOKUP(F30,Common!$C$10:$D$34,2,FALSE),2) &amp; DEC2HEX(I30,3) &amp; DEC2HEX(VLOOKUP(G30,Common!$C$51:$D$55,2,FALSE),1) &amp; DEC2HEX(1+2*VLOOKUP(H30,Common!$C$69:$D$72,2,FALSE),1) &amp; DEC2HEX(IFERROR(LOG(J30,2),0),1),0)</f>
        <v>0x00016151</v>
      </c>
      <c r="L30" s="29" t="str">
        <f>IF(AND(LEN(E30)&lt;&gt;0,S30=""),F30&amp;"_"&amp;UPPER(E30),"")</f>
        <v>SYS_ERROR</v>
      </c>
      <c r="M30" s="2" t="s">
        <v>203</v>
      </c>
      <c r="Q30" s="29"/>
      <c r="R30" s="3"/>
      <c r="S30" s="29"/>
      <c r="T30" s="35"/>
    </row>
    <row r="31" spans="1:20" x14ac:dyDescent="0.25">
      <c r="A31" s="34"/>
      <c r="D31" s="14"/>
      <c r="E31" t="s">
        <v>206</v>
      </c>
      <c r="F31" s="3" t="s">
        <v>32</v>
      </c>
      <c r="G31" s="3" t="s">
        <v>48</v>
      </c>
      <c r="H31" s="3" t="s">
        <v>45</v>
      </c>
      <c r="I31" s="33">
        <f t="shared" si="0"/>
        <v>24</v>
      </c>
      <c r="J31" s="29">
        <v>4</v>
      </c>
      <c r="K31" s="10" t="str">
        <f xml:space="preserve"> IFERROR("0x" &amp; DEC2HEX(VLOOKUP(F31,Common!$C$10:$D$34,2,FALSE),2) &amp; DEC2HEX(I31,3) &amp; DEC2HEX(VLOOKUP(G31,Common!$C$51:$D$55,2,FALSE),1) &amp; DEC2HEX(1+2*VLOOKUP(H31,Common!$C$69:$D$72,2,FALSE),1) &amp; DEC2HEX(IFERROR(LOG(J31,2),0),1),0)</f>
        <v>0x00018112</v>
      </c>
      <c r="L31" s="29" t="str">
        <f>IF(AND(LEN(E31)&lt;&gt;0,S31=""),F31&amp;"_"&amp;UPPER(E31),"")</f>
        <v>SYS_TICK</v>
      </c>
      <c r="M31" t="s">
        <v>207</v>
      </c>
      <c r="N31" s="29"/>
      <c r="O31" s="29"/>
      <c r="P31" s="29"/>
      <c r="Q31" s="3" t="s">
        <v>205</v>
      </c>
      <c r="R31" s="29"/>
      <c r="S31" s="34"/>
      <c r="T31" t="s">
        <v>208</v>
      </c>
    </row>
    <row r="32" spans="1:20" x14ac:dyDescent="0.25">
      <c r="D32" s="14"/>
      <c r="K32" s="10"/>
      <c r="R32" s="3"/>
    </row>
    <row r="33" spans="1:35"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35"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4272</v>
      </c>
      <c r="P34" s="10">
        <v>4272</v>
      </c>
      <c r="R34" s="29"/>
      <c r="T34" t="s">
        <v>177</v>
      </c>
    </row>
    <row r="35" spans="1:35"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35"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35" x14ac:dyDescent="0.25">
      <c r="D37" s="14"/>
      <c r="E37" s="11"/>
      <c r="F37" s="14"/>
      <c r="G37" s="5"/>
      <c r="H37" s="18"/>
      <c r="I37" s="14"/>
      <c r="J37" s="14"/>
      <c r="K37" s="10"/>
      <c r="M37"/>
      <c r="O37" s="3"/>
      <c r="P37" s="3"/>
      <c r="R37" s="29"/>
      <c r="T37"/>
    </row>
    <row r="38" spans="1:35"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35"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20250401</v>
      </c>
      <c r="P39" s="29">
        <v>20300330</v>
      </c>
      <c r="R39" s="29"/>
      <c r="T39" t="s">
        <v>128</v>
      </c>
    </row>
    <row r="40" spans="1:35"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35"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51200</v>
      </c>
      <c r="R41" s="29"/>
      <c r="T41" t="s">
        <v>129</v>
      </c>
    </row>
    <row r="42" spans="1:35" x14ac:dyDescent="0.25">
      <c r="D42" s="15"/>
      <c r="E42" s="2"/>
      <c r="F42" s="5"/>
      <c r="G42" s="5"/>
      <c r="H42" s="18"/>
      <c r="I42" s="14"/>
      <c r="J42" s="14"/>
      <c r="K42" s="10"/>
      <c r="L42" s="3"/>
      <c r="M42"/>
      <c r="R42" s="29"/>
      <c r="T42"/>
    </row>
    <row r="44" spans="1:35" s="10" customFormat="1" x14ac:dyDescent="0.25">
      <c r="A44" s="12"/>
      <c r="B44" s="12"/>
      <c r="C44" s="12"/>
      <c r="D44"/>
      <c r="E44" s="24"/>
      <c r="F44" s="23"/>
      <c r="G44" s="23"/>
      <c r="H44" s="26"/>
      <c r="I44" s="22"/>
      <c r="J44" s="22"/>
      <c r="K44" s="22"/>
      <c r="L44" s="22"/>
      <c r="M44" s="21"/>
      <c r="N44" s="22"/>
      <c r="O44" s="22"/>
      <c r="P44" s="22"/>
      <c r="Q44" s="23"/>
      <c r="R44" s="23"/>
      <c r="S44" s="22"/>
      <c r="T44" s="21"/>
      <c r="U44"/>
      <c r="V44"/>
      <c r="W44"/>
      <c r="X44"/>
      <c r="Y44"/>
      <c r="Z44" s="12"/>
      <c r="AA44" s="12"/>
      <c r="AB44" s="12"/>
      <c r="AC44" s="12"/>
      <c r="AD44" s="12"/>
      <c r="AE44" s="12"/>
      <c r="AF44" s="12"/>
      <c r="AG44" s="12"/>
      <c r="AH44" s="12"/>
      <c r="AI44" s="12"/>
    </row>
    <row r="45" spans="1:35" s="34" customFormat="1" x14ac:dyDescent="0.25">
      <c r="D45" s="40"/>
      <c r="E45" s="2" t="s">
        <v>195</v>
      </c>
      <c r="F45" s="3" t="s">
        <v>196</v>
      </c>
      <c r="G45" s="3" t="s">
        <v>48</v>
      </c>
      <c r="H45" s="3" t="s">
        <v>45</v>
      </c>
      <c r="I45" s="29">
        <v>0</v>
      </c>
      <c r="J45" s="29">
        <v>4</v>
      </c>
      <c r="K45" s="10" t="str">
        <f xml:space="preserve"> IFERROR("0x" &amp; DEC2HEX(VLOOKUP(F45,Common!$C$10:$D$34,2,FALSE),2) &amp; DEC2HEX(I45,3) &amp; DEC2HEX(VLOOKUP(G45,Common!$C$51:$D$55,2,FALSE),1) &amp; DEC2HEX(1+2*VLOOKUP(H45,Common!$C$69:$D$72,2,FALSE),1) &amp; DEC2HEX(IFERROR(LOG(J45,2),0),1),0)</f>
        <v>0x06000112</v>
      </c>
      <c r="L45" s="29" t="str">
        <f>IF(AND(LEN(E45)&lt;&gt;0,S45=""),F45&amp;"_"&amp;UPPER(E45),"")</f>
        <v>DBG_WRITES_CONF</v>
      </c>
      <c r="M45" t="s">
        <v>197</v>
      </c>
      <c r="N45" s="29"/>
      <c r="O45" s="29">
        <v>0</v>
      </c>
      <c r="P45" s="29">
        <v>1000000</v>
      </c>
      <c r="Q45" s="3" t="s">
        <v>198</v>
      </c>
      <c r="R45" s="29"/>
      <c r="S45" s="29"/>
      <c r="T45" t="s">
        <v>199</v>
      </c>
    </row>
    <row r="46" spans="1:35" s="10" customFormat="1" x14ac:dyDescent="0.25">
      <c r="A46" s="12"/>
      <c r="B46" s="12"/>
      <c r="C46" s="12"/>
      <c r="D46"/>
      <c r="E46" s="24"/>
      <c r="F46" s="23"/>
      <c r="G46" s="23"/>
      <c r="H46" s="26"/>
      <c r="I46" s="22"/>
      <c r="J46" s="22"/>
      <c r="K46" s="22"/>
      <c r="L46" s="22"/>
      <c r="M46" s="21"/>
      <c r="N46" s="22"/>
      <c r="O46" s="22"/>
      <c r="P46" s="22"/>
      <c r="Q46" s="23"/>
      <c r="R46" s="23"/>
      <c r="S46" s="22"/>
      <c r="T46" s="21"/>
      <c r="U46"/>
      <c r="V46"/>
      <c r="W46"/>
      <c r="X46"/>
      <c r="Y46"/>
      <c r="Z46" s="12"/>
      <c r="AA46" s="12"/>
      <c r="AB46" s="12"/>
      <c r="AC46" s="12"/>
      <c r="AD46" s="12"/>
      <c r="AE46" s="12"/>
      <c r="AF46" s="12"/>
      <c r="AG46" s="12"/>
      <c r="AH46" s="12"/>
      <c r="AI46" s="12"/>
    </row>
    <row r="47" spans="1:35" s="10" customFormat="1" x14ac:dyDescent="0.25">
      <c r="A47" s="12"/>
      <c r="B47" s="12"/>
      <c r="C47" s="12"/>
      <c r="D47"/>
      <c r="E47" s="24"/>
      <c r="F47" s="23"/>
      <c r="G47" s="23"/>
      <c r="H47" s="26"/>
      <c r="I47" s="22"/>
      <c r="J47" s="22"/>
      <c r="K47" s="22"/>
      <c r="L47" s="22"/>
      <c r="M47" s="21"/>
      <c r="N47" s="22"/>
      <c r="O47" s="22"/>
      <c r="P47" s="22"/>
      <c r="Q47" s="23"/>
      <c r="R47" s="23"/>
      <c r="S47" s="22"/>
      <c r="T47" s="21"/>
      <c r="U47"/>
      <c r="V47"/>
      <c r="W47"/>
      <c r="X47"/>
      <c r="Y47"/>
      <c r="Z47" s="12"/>
      <c r="AA47" s="12"/>
      <c r="AB47" s="12"/>
      <c r="AC47" s="12"/>
      <c r="AD47" s="12"/>
      <c r="AE47" s="12"/>
      <c r="AF47" s="12"/>
      <c r="AG47" s="12"/>
      <c r="AH47" s="12"/>
      <c r="AI47" s="12"/>
    </row>
    <row r="48" spans="1:35" s="10" customFormat="1" x14ac:dyDescent="0.25">
      <c r="A48" s="12"/>
      <c r="B48" s="12"/>
      <c r="C48" s="12"/>
      <c r="D48"/>
      <c r="E48" s="24"/>
      <c r="F48" s="23"/>
      <c r="G48" s="23"/>
      <c r="H48" s="26"/>
      <c r="I48" s="28"/>
      <c r="J48" s="22"/>
      <c r="L48" s="29"/>
      <c r="M48" s="21"/>
      <c r="N48" s="22"/>
      <c r="O48" s="22"/>
      <c r="P48" s="22"/>
      <c r="Q48" s="23"/>
      <c r="R48" s="23"/>
      <c r="S48" s="22"/>
      <c r="T48" s="21"/>
      <c r="U48"/>
      <c r="V48"/>
      <c r="W48"/>
      <c r="X48"/>
      <c r="Y48"/>
      <c r="Z48" s="12"/>
      <c r="AA48" s="12"/>
      <c r="AB48" s="12"/>
      <c r="AC48" s="12"/>
      <c r="AD48" s="12"/>
      <c r="AE48" s="12"/>
      <c r="AF48" s="12"/>
      <c r="AG48" s="12"/>
      <c r="AH48" s="12"/>
      <c r="AI48" s="12"/>
    </row>
    <row r="49" spans="1:35" s="10" customFormat="1" x14ac:dyDescent="0.25">
      <c r="A49" s="12"/>
      <c r="B49" s="12"/>
      <c r="C49" s="12"/>
      <c r="D49"/>
      <c r="E49" s="2" t="s">
        <v>200</v>
      </c>
      <c r="F49" s="3" t="s">
        <v>182</v>
      </c>
      <c r="G49" s="5" t="s">
        <v>48</v>
      </c>
      <c r="H49" s="18" t="s">
        <v>50</v>
      </c>
      <c r="I49" s="33">
        <v>0</v>
      </c>
      <c r="J49" s="29">
        <v>2</v>
      </c>
      <c r="K49" s="10" t="str">
        <f xml:space="preserve"> IFERROR("0x" &amp; DEC2HEX(VLOOKUP(F49,Common!$C$10:$D$34,2,FALSE),2) &amp; DEC2HEX(I49,3) &amp; DEC2HEX(VLOOKUP(G49,Common!$C$51:$D$55,2,FALSE),1) &amp; DEC2HEX(1+2*VLOOKUP(H49,Common!$C$69:$D$72,2,FALSE),1) &amp; DEC2HEX(IFERROR(LOG(J49,2),0),1),0)</f>
        <v>0x04000151</v>
      </c>
      <c r="L49" s="29" t="str">
        <f>IF(AND(LEN(E49)&lt;&gt;0,S49=""),F49&amp;"_"&amp;UPPER(E49),"")</f>
        <v>CALIB_MODE</v>
      </c>
      <c r="M49" t="s">
        <v>201</v>
      </c>
      <c r="N49" s="29">
        <v>0</v>
      </c>
      <c r="O49" s="29">
        <v>0</v>
      </c>
      <c r="P49" s="29">
        <v>24</v>
      </c>
      <c r="Q49" s="29"/>
      <c r="R49" s="29"/>
      <c r="S49" s="3"/>
      <c r="T49" t="s">
        <v>204</v>
      </c>
      <c r="U49"/>
      <c r="V49"/>
      <c r="W49"/>
      <c r="X49"/>
      <c r="Y49"/>
      <c r="Z49" s="12"/>
      <c r="AA49" s="12"/>
      <c r="AB49" s="12"/>
      <c r="AC49" s="12"/>
      <c r="AD49" s="12"/>
      <c r="AE49" s="12"/>
      <c r="AF49" s="12"/>
      <c r="AG49" s="12"/>
      <c r="AH49" s="12"/>
      <c r="AI49" s="12"/>
    </row>
    <row r="50" spans="1:35" s="10" customFormat="1" x14ac:dyDescent="0.25">
      <c r="A50" s="12"/>
      <c r="B50" s="12"/>
      <c r="C50" s="12"/>
      <c r="D50"/>
      <c r="E50" s="2" t="s">
        <v>194</v>
      </c>
      <c r="F50" s="3" t="s">
        <v>182</v>
      </c>
      <c r="G50" s="5" t="s">
        <v>48</v>
      </c>
      <c r="H50" s="18" t="s">
        <v>50</v>
      </c>
      <c r="I50" s="33">
        <f xml:space="preserve"> I49+J49</f>
        <v>2</v>
      </c>
      <c r="J50" s="29">
        <v>2</v>
      </c>
      <c r="K50" s="10" t="str">
        <f xml:space="preserve"> IFERROR("0x" &amp; DEC2HEX(VLOOKUP(F50,Common!$C$10:$D$34,2,FALSE),2) &amp; DEC2HEX(I50,3) &amp; DEC2HEX(VLOOKUP(G50,Common!$C$51:$D$55,2,FALSE),1) &amp; DEC2HEX(1+2*VLOOKUP(H50,Common!$C$69:$D$72,2,FALSE),1) &amp; DEC2HEX(IFERROR(LOG(J50,2),0),1),0)</f>
        <v>0x04002151</v>
      </c>
      <c r="L50" s="29" t="str">
        <f t="shared" ref="L50" si="2">IF(AND(LEN(E50)&lt;&gt;0,S50=""),F50&amp;"_"&amp;UPPER(E50),"")</f>
        <v>CALIB_RESERVED</v>
      </c>
      <c r="M50" t="s">
        <v>89</v>
      </c>
      <c r="N50" s="29"/>
      <c r="O50" s="29"/>
      <c r="P50" s="29"/>
      <c r="Q50" s="29"/>
      <c r="R50" s="29"/>
      <c r="S50" s="3"/>
      <c r="T50" t="s">
        <v>52</v>
      </c>
      <c r="U50"/>
      <c r="V50"/>
      <c r="W50"/>
      <c r="X50"/>
      <c r="Y50"/>
      <c r="Z50" s="12"/>
      <c r="AA50" s="12"/>
      <c r="AB50" s="12"/>
      <c r="AC50" s="12"/>
      <c r="AD50" s="12"/>
      <c r="AE50" s="12"/>
      <c r="AF50" s="12"/>
      <c r="AG50" s="12"/>
      <c r="AH50" s="12"/>
      <c r="AI50" s="12"/>
    </row>
    <row r="51" spans="1:35" s="10" customFormat="1" x14ac:dyDescent="0.25">
      <c r="A51" s="12"/>
      <c r="B51" s="12"/>
      <c r="C51" s="12"/>
      <c r="D51"/>
      <c r="E51" s="24"/>
      <c r="F51" s="23"/>
      <c r="G51" s="23"/>
      <c r="H51" s="26"/>
      <c r="I51" s="28"/>
      <c r="J51" s="22"/>
      <c r="L51" s="29"/>
      <c r="M51" s="21"/>
      <c r="N51" s="22"/>
      <c r="O51" s="22"/>
      <c r="P51" s="22"/>
      <c r="Q51" s="23"/>
      <c r="R51" s="23"/>
      <c r="S51" s="22"/>
      <c r="T51" s="21"/>
      <c r="U51"/>
      <c r="V51"/>
      <c r="W51"/>
      <c r="X51"/>
      <c r="Y51"/>
      <c r="Z51" s="12"/>
      <c r="AA51" s="12"/>
      <c r="AB51" s="12"/>
      <c r="AC51" s="12"/>
      <c r="AD51" s="12"/>
      <c r="AE51" s="12"/>
      <c r="AF51" s="12"/>
      <c r="AG51" s="12"/>
      <c r="AH51" s="12"/>
      <c r="AI51" s="12"/>
    </row>
    <row r="52" spans="1:35" s="10" customFormat="1" x14ac:dyDescent="0.25">
      <c r="A52" s="12"/>
      <c r="B52" s="12"/>
      <c r="C52" s="12"/>
      <c r="D52"/>
      <c r="E52" s="24"/>
      <c r="F52" s="23"/>
      <c r="G52" s="23"/>
      <c r="H52" s="26"/>
      <c r="I52" s="28"/>
      <c r="J52" s="22"/>
      <c r="L52" s="29"/>
      <c r="M52" s="21"/>
      <c r="N52" s="22"/>
      <c r="O52" s="22"/>
      <c r="P52" s="22"/>
      <c r="Q52" s="23"/>
      <c r="R52" s="23"/>
      <c r="S52" s="22"/>
      <c r="T52" s="21"/>
      <c r="U52"/>
      <c r="V52"/>
      <c r="W52"/>
      <c r="X52"/>
      <c r="Y52"/>
      <c r="Z52" s="12"/>
      <c r="AA52" s="12"/>
      <c r="AB52" s="12"/>
      <c r="AC52" s="12"/>
      <c r="AD52" s="12"/>
      <c r="AE52" s="12"/>
      <c r="AF52" s="12"/>
      <c r="AG52" s="12"/>
      <c r="AH52" s="12"/>
      <c r="AI52" s="12"/>
    </row>
    <row r="53" spans="1:35" s="10" customFormat="1" x14ac:dyDescent="0.25">
      <c r="A53" s="12"/>
      <c r="B53" s="12"/>
      <c r="C53" s="12"/>
      <c r="D53"/>
      <c r="E53" s="24"/>
      <c r="F53" s="23"/>
      <c r="G53" s="23"/>
      <c r="H53" s="26"/>
      <c r="I53" s="28"/>
      <c r="J53" s="22"/>
      <c r="L53" s="29"/>
      <c r="M53" s="21"/>
      <c r="N53" s="22"/>
      <c r="O53" s="22"/>
      <c r="P53" s="22"/>
      <c r="Q53" s="23"/>
      <c r="R53" s="23"/>
      <c r="S53" s="22"/>
      <c r="T53" s="21"/>
      <c r="U53"/>
      <c r="V53"/>
      <c r="W53"/>
      <c r="X53"/>
      <c r="Y53"/>
      <c r="Z53" s="12"/>
      <c r="AA53" s="12"/>
      <c r="AB53" s="12"/>
      <c r="AC53" s="12"/>
      <c r="AD53" s="12"/>
      <c r="AE53" s="12"/>
      <c r="AF53" s="12"/>
      <c r="AG53" s="12"/>
      <c r="AH53" s="12"/>
      <c r="AI53" s="12"/>
    </row>
    <row r="54" spans="1:35" s="10" customFormat="1" x14ac:dyDescent="0.25">
      <c r="A54" s="12"/>
      <c r="B54" s="12"/>
      <c r="C54" s="12"/>
      <c r="D54"/>
      <c r="E54" t="s">
        <v>210</v>
      </c>
      <c r="F54" s="3" t="s">
        <v>223</v>
      </c>
      <c r="G54" s="3" t="s">
        <v>114</v>
      </c>
      <c r="H54" s="3" t="s">
        <v>50</v>
      </c>
      <c r="I54" s="33">
        <f xml:space="preserve"> I53+J53</f>
        <v>0</v>
      </c>
      <c r="J54" s="29">
        <v>1</v>
      </c>
      <c r="K54" s="10" t="str">
        <f xml:space="preserve"> IFERROR("0x" &amp; DEC2HEX(VLOOKUP(F54,Common!$C$10:$D$34,2,FALSE),2) &amp; DEC2HEX(I54,3) &amp; DEC2HEX(VLOOKUP(G54,Common!$C$51:$D$55,2,FALSE),1) &amp; DEC2HEX(1+2*VLOOKUP(H54,Common!$C$69:$D$72,2,FALSE),1) &amp; DEC2HEX(IFERROR(LOG(J54,2),0),1),0)</f>
        <v>0x05000550</v>
      </c>
      <c r="L54" s="29" t="str">
        <f t="shared" ref="L54" si="3">IF(AND(LEN(E54)&lt;&gt;0,S54=""),F54&amp;"_"&amp;UPPER(E54),"")</f>
        <v>MEAS_ENABLE</v>
      </c>
      <c r="M54" t="s">
        <v>211</v>
      </c>
      <c r="N54" s="29">
        <v>1</v>
      </c>
      <c r="O54" s="29">
        <v>0</v>
      </c>
      <c r="P54" s="29">
        <v>1</v>
      </c>
      <c r="Q54" s="29"/>
      <c r="R54" s="3" t="s">
        <v>212</v>
      </c>
      <c r="S54" s="34"/>
      <c r="T54" t="s">
        <v>213</v>
      </c>
      <c r="U54"/>
      <c r="V54"/>
      <c r="W54"/>
      <c r="X54"/>
      <c r="Y54"/>
      <c r="Z54" s="12"/>
      <c r="AA54" s="12"/>
      <c r="AB54" s="12"/>
      <c r="AC54" s="12"/>
      <c r="AD54" s="12"/>
      <c r="AE54" s="12"/>
      <c r="AF54" s="12"/>
      <c r="AG54" s="12"/>
      <c r="AH54" s="12"/>
      <c r="AI54" s="12"/>
    </row>
    <row r="55" spans="1:35" s="10" customFormat="1" x14ac:dyDescent="0.25">
      <c r="A55" s="12"/>
      <c r="B55" s="12"/>
      <c r="C55" s="12"/>
      <c r="D55"/>
      <c r="E55"/>
      <c r="F55" s="3" t="s">
        <v>223</v>
      </c>
      <c r="G55" s="3"/>
      <c r="H55" s="3"/>
      <c r="I55" s="33">
        <f t="shared" ref="I55:I66" si="4" xml:space="preserve"> I54+J54</f>
        <v>1</v>
      </c>
      <c r="J55" s="29"/>
      <c r="K55" s="10">
        <f xml:space="preserve"> IFERROR("0x" &amp; DEC2HEX(VLOOKUP(F55,Common!$C$10:$D$34,2,FALSE),2) &amp; DEC2HEX(I55,3) &amp; DEC2HEX(VLOOKUP(G55,Common!$C$51:$D$55,2,FALSE),1) &amp; DEC2HEX(1+2*VLOOKUP(H55,Common!$C$69:$D$72,2,FALSE),1) &amp; DEC2HEX(IFERROR(LOG(J55,2),0),1),0)</f>
        <v>0</v>
      </c>
      <c r="L55" s="3" t="s">
        <v>214</v>
      </c>
      <c r="M55" t="s">
        <v>215</v>
      </c>
      <c r="N55" s="29"/>
      <c r="O55" s="29"/>
      <c r="P55" s="29"/>
      <c r="Q55" s="29"/>
      <c r="R55" s="3"/>
      <c r="S55" s="34"/>
      <c r="T55" t="s">
        <v>216</v>
      </c>
      <c r="U55"/>
      <c r="V55"/>
      <c r="W55"/>
      <c r="X55"/>
      <c r="Y55"/>
      <c r="Z55" s="12"/>
      <c r="AA55" s="12"/>
      <c r="AB55" s="12"/>
      <c r="AC55" s="12"/>
      <c r="AD55" s="12"/>
      <c r="AE55" s="12"/>
      <c r="AF55" s="12"/>
      <c r="AG55" s="12"/>
      <c r="AH55" s="12"/>
      <c r="AI55" s="12"/>
    </row>
    <row r="56" spans="1:35" s="10" customFormat="1" x14ac:dyDescent="0.25">
      <c r="A56" s="12"/>
      <c r="B56" s="12"/>
      <c r="C56" s="12"/>
      <c r="D56"/>
      <c r="E56"/>
      <c r="F56" s="3" t="s">
        <v>223</v>
      </c>
      <c r="G56" s="3"/>
      <c r="H56" s="3"/>
      <c r="I56" s="33">
        <f t="shared" si="4"/>
        <v>1</v>
      </c>
      <c r="J56" s="29"/>
      <c r="K56" s="10">
        <f xml:space="preserve"> IFERROR("0x" &amp; DEC2HEX(VLOOKUP(F56,Common!$C$10:$D$34,2,FALSE),2) &amp; DEC2HEX(I56,3) &amp; DEC2HEX(VLOOKUP(G56,Common!$C$51:$D$55,2,FALSE),1) &amp; DEC2HEX(1+2*VLOOKUP(H56,Common!$C$69:$D$72,2,FALSE),1) &amp; DEC2HEX(IFERROR(LOG(J56,2),0),1),0)</f>
        <v>0</v>
      </c>
      <c r="L56" s="3" t="s">
        <v>217</v>
      </c>
      <c r="M56" t="s">
        <v>218</v>
      </c>
      <c r="N56" s="29"/>
      <c r="O56" s="29"/>
      <c r="P56" s="29"/>
      <c r="Q56" s="29"/>
      <c r="R56" s="3"/>
      <c r="S56" s="34"/>
      <c r="T56" t="s">
        <v>219</v>
      </c>
      <c r="U56"/>
      <c r="V56"/>
      <c r="W56"/>
      <c r="X56"/>
      <c r="Y56"/>
      <c r="Z56" s="12"/>
      <c r="AA56" s="12"/>
      <c r="AB56" s="12"/>
      <c r="AC56" s="12"/>
      <c r="AD56" s="12"/>
      <c r="AE56" s="12"/>
      <c r="AF56" s="12"/>
      <c r="AG56" s="12"/>
      <c r="AH56" s="12"/>
      <c r="AI56" s="12"/>
    </row>
    <row r="57" spans="1:35" s="10" customFormat="1" x14ac:dyDescent="0.25">
      <c r="A57" s="12"/>
      <c r="B57" s="12"/>
      <c r="C57" s="12"/>
      <c r="D57"/>
      <c r="E57" t="s">
        <v>200</v>
      </c>
      <c r="F57" s="3" t="s">
        <v>223</v>
      </c>
      <c r="G57" s="3" t="s">
        <v>114</v>
      </c>
      <c r="H57" s="3" t="s">
        <v>50</v>
      </c>
      <c r="I57" s="33">
        <f t="shared" si="4"/>
        <v>1</v>
      </c>
      <c r="J57" s="29">
        <v>1</v>
      </c>
      <c r="K57" s="10" t="str">
        <f xml:space="preserve"> IFERROR("0x" &amp; DEC2HEX(VLOOKUP(F57,Common!$C$10:$D$34,2,FALSE),2) &amp; DEC2HEX(I57,3) &amp; DEC2HEX(VLOOKUP(G57,Common!$C$51:$D$55,2,FALSE),1) &amp; DEC2HEX(1+2*VLOOKUP(H57,Common!$C$69:$D$72,2,FALSE),1) &amp; DEC2HEX(IFERROR(LOG(J57,2),0),1),0)</f>
        <v>0x05001550</v>
      </c>
      <c r="L57" s="29" t="str">
        <f t="shared" ref="L57" si="5">IF(AND(LEN(E57)&lt;&gt;0,S57=""),F57&amp;"_"&amp;UPPER(E57),"")</f>
        <v>MEAS_MODE</v>
      </c>
      <c r="M57" t="s">
        <v>228</v>
      </c>
      <c r="N57" s="29">
        <v>0</v>
      </c>
      <c r="O57" s="29"/>
      <c r="P57" s="29"/>
      <c r="Q57" s="29"/>
      <c r="R57" s="29"/>
      <c r="S57" s="34"/>
      <c r="T57" t="s">
        <v>248</v>
      </c>
      <c r="U57"/>
      <c r="V57"/>
      <c r="W57"/>
      <c r="X57"/>
      <c r="Y57"/>
      <c r="Z57" s="12"/>
      <c r="AA57" s="12"/>
      <c r="AB57" s="12"/>
      <c r="AC57" s="12"/>
      <c r="AD57" s="12"/>
      <c r="AE57" s="12"/>
      <c r="AF57" s="12"/>
      <c r="AG57" s="12"/>
      <c r="AH57" s="12"/>
      <c r="AI57" s="12"/>
    </row>
    <row r="58" spans="1:35" s="10" customFormat="1" x14ac:dyDescent="0.25">
      <c r="A58" s="12"/>
      <c r="B58" s="12"/>
      <c r="C58" s="12"/>
      <c r="D58"/>
      <c r="E58"/>
      <c r="F58" s="3" t="s">
        <v>223</v>
      </c>
      <c r="G58" s="3"/>
      <c r="H58" s="3"/>
      <c r="I58" s="33">
        <f t="shared" si="4"/>
        <v>2</v>
      </c>
      <c r="J58" s="29"/>
      <c r="L58" s="3" t="s">
        <v>226</v>
      </c>
      <c r="M58" t="s">
        <v>237</v>
      </c>
      <c r="N58" s="29"/>
      <c r="O58" s="29"/>
      <c r="P58" s="29"/>
      <c r="Q58" s="29"/>
      <c r="R58" s="29"/>
      <c r="S58" s="34"/>
      <c r="T58" t="s">
        <v>249</v>
      </c>
      <c r="U58"/>
      <c r="V58"/>
      <c r="W58"/>
      <c r="X58"/>
      <c r="Y58"/>
      <c r="Z58" s="12"/>
      <c r="AA58" s="12"/>
      <c r="AB58" s="12"/>
      <c r="AC58" s="12"/>
      <c r="AD58" s="12"/>
      <c r="AE58" s="12"/>
      <c r="AF58" s="12"/>
      <c r="AG58" s="12"/>
      <c r="AH58" s="12"/>
      <c r="AI58" s="12"/>
    </row>
    <row r="59" spans="1:35" s="10" customFormat="1" x14ac:dyDescent="0.25">
      <c r="A59" s="12"/>
      <c r="B59" s="12"/>
      <c r="C59" s="12"/>
      <c r="D59"/>
      <c r="E59"/>
      <c r="F59" s="3" t="s">
        <v>223</v>
      </c>
      <c r="G59" s="3"/>
      <c r="H59" s="3"/>
      <c r="I59" s="33">
        <f t="shared" si="4"/>
        <v>2</v>
      </c>
      <c r="J59" s="29"/>
      <c r="L59" s="3" t="s">
        <v>227</v>
      </c>
      <c r="M59" t="s">
        <v>239</v>
      </c>
      <c r="N59" s="29"/>
      <c r="O59" s="29"/>
      <c r="P59" s="29"/>
      <c r="Q59" s="29"/>
      <c r="R59" s="29"/>
      <c r="S59" s="34"/>
      <c r="T59" t="s">
        <v>250</v>
      </c>
      <c r="U59"/>
      <c r="V59"/>
      <c r="W59"/>
      <c r="X59"/>
      <c r="Y59"/>
      <c r="Z59" s="12"/>
      <c r="AA59" s="12"/>
      <c r="AB59" s="12"/>
      <c r="AC59" s="12"/>
      <c r="AD59" s="12"/>
      <c r="AE59" s="12"/>
      <c r="AF59" s="12"/>
      <c r="AG59" s="12"/>
      <c r="AH59" s="12"/>
      <c r="AI59" s="12"/>
    </row>
    <row r="60" spans="1:35" s="10" customFormat="1" x14ac:dyDescent="0.25">
      <c r="A60" s="12"/>
      <c r="B60" s="12"/>
      <c r="C60" s="12"/>
      <c r="D60"/>
      <c r="E60" t="s">
        <v>233</v>
      </c>
      <c r="F60" s="3" t="s">
        <v>223</v>
      </c>
      <c r="G60" s="3" t="s">
        <v>114</v>
      </c>
      <c r="H60" s="3" t="s">
        <v>50</v>
      </c>
      <c r="I60" s="33">
        <f t="shared" ref="I60:I64" si="6" xml:space="preserve"> I59+J59</f>
        <v>2</v>
      </c>
      <c r="J60" s="29">
        <v>1</v>
      </c>
      <c r="K60" s="10" t="str">
        <f xml:space="preserve"> IFERROR("0x" &amp; DEC2HEX(VLOOKUP(F60,Common!$C$10:$D$34,2,FALSE),2) &amp; DEC2HEX(I60,3) &amp; DEC2HEX(VLOOKUP(G60,Common!$C$51:$D$55,2,FALSE),1) &amp; DEC2HEX(1+2*VLOOKUP(H60,Common!$C$69:$D$72,2,FALSE),1) &amp; DEC2HEX(IFERROR(LOG(J60,2),0),1),0)</f>
        <v>0x05002550</v>
      </c>
      <c r="L60" s="29" t="str">
        <f t="shared" ref="L60" si="7">IF(AND(LEN(E60)&lt;&gt;0,S60=""),F60&amp;"_"&amp;UPPER(E60),"")</f>
        <v>MEAS_TRIGGER</v>
      </c>
      <c r="M60" t="s">
        <v>240</v>
      </c>
      <c r="N60" s="29">
        <v>0</v>
      </c>
      <c r="O60" s="29"/>
      <c r="P60" s="29"/>
      <c r="Q60" s="29"/>
      <c r="R60" s="29"/>
      <c r="S60" s="34"/>
      <c r="T60" t="s">
        <v>240</v>
      </c>
      <c r="U60"/>
      <c r="V60"/>
      <c r="W60"/>
      <c r="X60"/>
      <c r="Y60"/>
      <c r="Z60" s="12"/>
      <c r="AA60" s="12"/>
      <c r="AB60" s="12"/>
      <c r="AC60" s="12"/>
      <c r="AD60" s="12"/>
      <c r="AE60" s="12"/>
      <c r="AF60" s="12"/>
      <c r="AG60" s="12"/>
      <c r="AH60" s="12"/>
      <c r="AI60" s="12"/>
    </row>
    <row r="61" spans="1:35" s="10" customFormat="1" x14ac:dyDescent="0.25">
      <c r="A61" s="12"/>
      <c r="B61" s="12"/>
      <c r="C61" s="12"/>
      <c r="D61"/>
      <c r="E61"/>
      <c r="F61" s="3" t="s">
        <v>223</v>
      </c>
      <c r="G61" s="3"/>
      <c r="H61" s="3"/>
      <c r="I61" s="33">
        <f t="shared" si="6"/>
        <v>3</v>
      </c>
      <c r="J61" s="29"/>
      <c r="L61" s="29" t="s">
        <v>234</v>
      </c>
      <c r="M61" t="s">
        <v>241</v>
      </c>
      <c r="N61" s="29"/>
      <c r="O61" s="29"/>
      <c r="P61" s="29"/>
      <c r="Q61" s="29"/>
      <c r="R61" s="29"/>
      <c r="S61" s="34"/>
      <c r="T61" t="s">
        <v>251</v>
      </c>
      <c r="U61"/>
      <c r="V61"/>
      <c r="W61"/>
      <c r="X61"/>
      <c r="Y61"/>
      <c r="Z61" s="12"/>
      <c r="AA61" s="12"/>
      <c r="AB61" s="12"/>
      <c r="AC61" s="12"/>
      <c r="AD61" s="12"/>
      <c r="AE61" s="12"/>
      <c r="AF61" s="12"/>
      <c r="AG61" s="12"/>
      <c r="AH61" s="12"/>
      <c r="AI61" s="12"/>
    </row>
    <row r="62" spans="1:35" s="10" customFormat="1" ht="14.25" customHeight="1" x14ac:dyDescent="0.25">
      <c r="A62" s="12"/>
      <c r="B62" s="12"/>
      <c r="C62" s="12"/>
      <c r="D62"/>
      <c r="E62"/>
      <c r="F62" s="3" t="s">
        <v>223</v>
      </c>
      <c r="G62" s="3"/>
      <c r="H62" s="3"/>
      <c r="I62" s="33">
        <f t="shared" si="6"/>
        <v>3</v>
      </c>
      <c r="J62" s="29"/>
      <c r="L62" s="3" t="s">
        <v>235</v>
      </c>
      <c r="M62" t="s">
        <v>246</v>
      </c>
      <c r="N62" s="29"/>
      <c r="O62" s="29"/>
      <c r="P62" s="29"/>
      <c r="Q62" s="29"/>
      <c r="R62" s="29"/>
      <c r="S62" s="34"/>
      <c r="T62" t="s">
        <v>252</v>
      </c>
      <c r="U62"/>
      <c r="V62"/>
      <c r="W62"/>
      <c r="X62"/>
      <c r="Y62"/>
      <c r="Z62" s="12"/>
      <c r="AA62" s="12"/>
      <c r="AB62" s="12"/>
      <c r="AC62" s="12"/>
      <c r="AD62" s="12"/>
      <c r="AE62" s="12"/>
      <c r="AF62" s="12"/>
      <c r="AG62" s="12"/>
      <c r="AH62" s="12"/>
      <c r="AI62" s="12"/>
    </row>
    <row r="63" spans="1:35" s="10" customFormat="1" x14ac:dyDescent="0.25">
      <c r="A63" s="12"/>
      <c r="B63" s="12"/>
      <c r="C63" s="12"/>
      <c r="D63"/>
      <c r="E63"/>
      <c r="F63" s="3" t="s">
        <v>223</v>
      </c>
      <c r="G63" s="3"/>
      <c r="H63" s="3"/>
      <c r="I63" s="33">
        <f t="shared" si="6"/>
        <v>3</v>
      </c>
      <c r="J63" s="29"/>
      <c r="L63" s="3" t="s">
        <v>236</v>
      </c>
      <c r="M63" t="s">
        <v>247</v>
      </c>
      <c r="N63" s="29"/>
      <c r="O63" s="29"/>
      <c r="P63" s="29"/>
      <c r="Q63" s="29"/>
      <c r="R63" s="29"/>
      <c r="S63" s="34"/>
      <c r="T63" t="s">
        <v>253</v>
      </c>
      <c r="U63"/>
      <c r="V63"/>
      <c r="W63"/>
      <c r="X63"/>
      <c r="Y63"/>
      <c r="Z63" s="12"/>
      <c r="AA63" s="12"/>
      <c r="AB63" s="12"/>
      <c r="AC63" s="12"/>
      <c r="AD63" s="12"/>
      <c r="AE63" s="12"/>
      <c r="AF63" s="12"/>
      <c r="AG63" s="12"/>
      <c r="AH63" s="12"/>
      <c r="AI63" s="12"/>
    </row>
    <row r="64" spans="1:35" s="10" customFormat="1" x14ac:dyDescent="0.25">
      <c r="A64" s="12"/>
      <c r="B64" s="12"/>
      <c r="C64" s="12"/>
      <c r="D64"/>
      <c r="E64" t="s">
        <v>194</v>
      </c>
      <c r="F64" s="3" t="s">
        <v>223</v>
      </c>
      <c r="G64" s="3" t="s">
        <v>48</v>
      </c>
      <c r="H64" s="3" t="s">
        <v>50</v>
      </c>
      <c r="I64" s="33">
        <f t="shared" si="6"/>
        <v>3</v>
      </c>
      <c r="J64" s="29">
        <v>1</v>
      </c>
      <c r="K64" s="10" t="str">
        <f xml:space="preserve"> IFERROR("0x" &amp; DEC2HEX(VLOOKUP(F64,Common!$C$10:$D$34,2,FALSE),2) &amp; DEC2HEX(I64,3) &amp; DEC2HEX(VLOOKUP(G64,Common!$C$51:$D$55,2,FALSE),1) &amp; DEC2HEX(1+2*VLOOKUP(H64,Common!$C$69:$D$72,2,FALSE),1) &amp; DEC2HEX(IFERROR(LOG(J64,2),0),1),0)</f>
        <v>0x05003150</v>
      </c>
      <c r="L64" s="29" t="str">
        <f t="shared" ref="L64:L69" si="8">IF(AND(LEN(E64)&lt;&gt;0,S64=""),F64&amp;"_"&amp;UPPER(E64),"")</f>
        <v>MEAS_RESERVED</v>
      </c>
      <c r="M64" t="s">
        <v>242</v>
      </c>
      <c r="N64" s="29"/>
      <c r="O64" s="29"/>
      <c r="P64" s="29"/>
      <c r="Q64" s="29"/>
      <c r="R64" s="3"/>
      <c r="S64" s="34"/>
      <c r="T64"/>
      <c r="U64"/>
      <c r="V64"/>
      <c r="W64"/>
      <c r="X64"/>
      <c r="Y64"/>
      <c r="Z64" s="12"/>
      <c r="AA64" s="12"/>
      <c r="AB64" s="12"/>
      <c r="AC64" s="12"/>
      <c r="AD64" s="12"/>
      <c r="AE64" s="12"/>
      <c r="AF64" s="12"/>
      <c r="AG64" s="12"/>
      <c r="AH64" s="12"/>
      <c r="AI64" s="12"/>
    </row>
    <row r="65" spans="1:35" s="10" customFormat="1" x14ac:dyDescent="0.25">
      <c r="A65" s="12"/>
      <c r="B65" s="12"/>
      <c r="C65" s="12"/>
      <c r="D65"/>
      <c r="E65" t="s">
        <v>229</v>
      </c>
      <c r="F65" s="3" t="s">
        <v>223</v>
      </c>
      <c r="G65" s="3" t="s">
        <v>49</v>
      </c>
      <c r="H65" s="3" t="s">
        <v>45</v>
      </c>
      <c r="I65" s="33">
        <f t="shared" si="4"/>
        <v>4</v>
      </c>
      <c r="J65" s="29">
        <v>4</v>
      </c>
      <c r="K65" s="10" t="str">
        <f xml:space="preserve"> IFERROR("0x" &amp; DEC2HEX(VLOOKUP(F65,Common!$C$10:$D$34,2,FALSE),2) &amp; DEC2HEX(I65,3) &amp; DEC2HEX(VLOOKUP(G65,Common!$C$51:$D$55,2,FALSE),1) &amp; DEC2HEX(1+2*VLOOKUP(H65,Common!$C$69:$D$72,2,FALSE),1) &amp; DEC2HEX(IFERROR(LOG(J65,2),0),1),0)</f>
        <v>0x05004212</v>
      </c>
      <c r="L65" s="29" t="str">
        <f t="shared" si="8"/>
        <v>MEAS_RAW</v>
      </c>
      <c r="M65" t="s">
        <v>237</v>
      </c>
      <c r="N65" s="29"/>
      <c r="O65" s="29">
        <v>-10</v>
      </c>
      <c r="P65" s="3">
        <v>10</v>
      </c>
      <c r="Q65" s="29" t="s">
        <v>245</v>
      </c>
      <c r="R65" s="29"/>
      <c r="S65" s="29"/>
      <c r="T65" t="s">
        <v>254</v>
      </c>
      <c r="U65"/>
      <c r="V65"/>
      <c r="W65"/>
      <c r="X65"/>
      <c r="Y65"/>
      <c r="Z65" s="12"/>
      <c r="AA65" s="12"/>
      <c r="AB65" s="12"/>
      <c r="AC65" s="12"/>
      <c r="AD65" s="12"/>
      <c r="AE65" s="12"/>
      <c r="AF65" s="12"/>
      <c r="AG65" s="12"/>
      <c r="AH65" s="12"/>
      <c r="AI65" s="12"/>
    </row>
    <row r="66" spans="1:35" s="10" customFormat="1" x14ac:dyDescent="0.25">
      <c r="A66" s="12"/>
      <c r="B66" s="12"/>
      <c r="C66" s="12"/>
      <c r="D66"/>
      <c r="E66" t="s">
        <v>230</v>
      </c>
      <c r="F66" s="3" t="s">
        <v>223</v>
      </c>
      <c r="G66" s="3" t="s">
        <v>49</v>
      </c>
      <c r="H66" s="3" t="s">
        <v>45</v>
      </c>
      <c r="I66" s="33">
        <f t="shared" si="4"/>
        <v>8</v>
      </c>
      <c r="J66" s="29">
        <v>4</v>
      </c>
      <c r="K66" s="10" t="str">
        <f xml:space="preserve"> IFERROR("0x" &amp; DEC2HEX(VLOOKUP(F66,Common!$C$10:$D$34,2,FALSE),2) &amp; DEC2HEX(I66,3) &amp; DEC2HEX(VLOOKUP(G66,Common!$C$51:$D$55,2,FALSE),1) &amp; DEC2HEX(1+2*VLOOKUP(H66,Common!$C$69:$D$72,2,FALSE),1) &amp; DEC2HEX(IFERROR(LOG(J66,2),0),1),0)</f>
        <v>0x05008212</v>
      </c>
      <c r="L66" s="29" t="str">
        <f t="shared" si="8"/>
        <v>MEAS_AVERAGE</v>
      </c>
      <c r="M66" t="s">
        <v>238</v>
      </c>
      <c r="N66" s="29"/>
      <c r="O66" s="29">
        <v>-10</v>
      </c>
      <c r="P66" s="3">
        <v>10</v>
      </c>
      <c r="Q66" s="29" t="s">
        <v>245</v>
      </c>
      <c r="R66" s="29"/>
      <c r="S66" s="29"/>
      <c r="T66" t="s">
        <v>255</v>
      </c>
      <c r="U66"/>
      <c r="V66"/>
      <c r="W66"/>
      <c r="X66"/>
      <c r="Y66"/>
      <c r="Z66" s="12"/>
      <c r="AA66" s="12"/>
      <c r="AB66" s="12"/>
      <c r="AC66" s="12"/>
      <c r="AD66" s="12"/>
      <c r="AE66" s="12"/>
      <c r="AF66" s="12"/>
      <c r="AG66" s="12"/>
      <c r="AH66" s="12"/>
      <c r="AI66" s="12"/>
    </row>
    <row r="67" spans="1:35" s="10" customFormat="1" x14ac:dyDescent="0.25">
      <c r="A67" s="12"/>
      <c r="B67" s="12"/>
      <c r="C67" s="12"/>
      <c r="D67"/>
      <c r="E67" t="s">
        <v>231</v>
      </c>
      <c r="F67" s="3" t="s">
        <v>223</v>
      </c>
      <c r="G67" s="3" t="s">
        <v>49</v>
      </c>
      <c r="H67" s="3" t="s">
        <v>50</v>
      </c>
      <c r="I67" s="33">
        <f t="shared" ref="I67:I68" si="9" xml:space="preserve"> I66+J66</f>
        <v>12</v>
      </c>
      <c r="J67" s="29">
        <v>4</v>
      </c>
      <c r="K67" s="10" t="str">
        <f xml:space="preserve"> IFERROR("0x" &amp; DEC2HEX(VLOOKUP(F67,Common!$C$10:$D$34,2,FALSE),2) &amp; DEC2HEX(I67,3) &amp; DEC2HEX(VLOOKUP(G67,Common!$C$51:$D$55,2,FALSE),1) &amp; DEC2HEX(1+2*VLOOKUP(H67,Common!$C$69:$D$72,2,FALSE),1) &amp; DEC2HEX(IFERROR(LOG(J67,2),0),1),0)</f>
        <v>0x0500C252</v>
      </c>
      <c r="L67" s="29" t="str">
        <f t="shared" si="8"/>
        <v>MEAS_THRESHLOD</v>
      </c>
      <c r="M67" t="s">
        <v>243</v>
      </c>
      <c r="N67" s="29">
        <v>0</v>
      </c>
      <c r="O67" s="29">
        <v>-10</v>
      </c>
      <c r="P67" s="3">
        <v>10</v>
      </c>
      <c r="Q67" s="29" t="s">
        <v>245</v>
      </c>
      <c r="R67" s="29"/>
      <c r="S67" s="29"/>
      <c r="T67" t="s">
        <v>256</v>
      </c>
      <c r="U67"/>
      <c r="V67"/>
      <c r="W67"/>
      <c r="X67"/>
      <c r="Y67"/>
      <c r="Z67" s="12"/>
      <c r="AA67" s="12"/>
      <c r="AB67" s="12"/>
      <c r="AC67" s="12"/>
      <c r="AD67" s="12"/>
      <c r="AE67" s="12"/>
      <c r="AF67" s="12"/>
      <c r="AG67" s="12"/>
      <c r="AH67" s="12"/>
      <c r="AI67" s="12"/>
    </row>
    <row r="68" spans="1:35" s="10" customFormat="1" x14ac:dyDescent="0.25">
      <c r="A68" s="12"/>
      <c r="B68" s="12"/>
      <c r="C68" s="12"/>
      <c r="D68"/>
      <c r="E68" t="s">
        <v>232</v>
      </c>
      <c r="F68" s="3" t="s">
        <v>223</v>
      </c>
      <c r="G68" s="3" t="s">
        <v>49</v>
      </c>
      <c r="H68" s="3" t="s">
        <v>50</v>
      </c>
      <c r="I68" s="33">
        <f t="shared" si="9"/>
        <v>16</v>
      </c>
      <c r="J68" s="29">
        <v>4</v>
      </c>
      <c r="K68" s="10" t="str">
        <f xml:space="preserve"> IFERROR("0x" &amp; DEC2HEX(VLOOKUP(F68,Common!$C$10:$D$34,2,FALSE),2) &amp; DEC2HEX(I68,3) &amp; DEC2HEX(VLOOKUP(G68,Common!$C$51:$D$55,2,FALSE),1) &amp; DEC2HEX(1+2*VLOOKUP(H68,Common!$C$69:$D$72,2,FALSE),1) &amp; DEC2HEX(IFERROR(LOG(J68,2),0),1),0)</f>
        <v>0x05010252</v>
      </c>
      <c r="L68" s="29" t="str">
        <f t="shared" si="8"/>
        <v>MEAS_HYSTERESIS</v>
      </c>
      <c r="M68" t="s">
        <v>244</v>
      </c>
      <c r="N68" s="29">
        <v>0</v>
      </c>
      <c r="O68" s="29">
        <v>0</v>
      </c>
      <c r="P68" s="3">
        <v>10</v>
      </c>
      <c r="Q68" s="29" t="s">
        <v>245</v>
      </c>
      <c r="R68" s="29"/>
      <c r="S68" s="29"/>
      <c r="T68" t="s">
        <v>257</v>
      </c>
      <c r="U68"/>
      <c r="V68"/>
      <c r="W68"/>
      <c r="X68"/>
      <c r="Y68"/>
      <c r="Z68" s="12"/>
      <c r="AA68" s="12"/>
      <c r="AB68" s="12"/>
      <c r="AC68" s="12"/>
      <c r="AD68" s="12"/>
      <c r="AE68" s="12"/>
      <c r="AF68" s="12"/>
      <c r="AG68" s="12"/>
      <c r="AH68" s="12"/>
      <c r="AI68" s="12"/>
    </row>
    <row r="69" spans="1:35" s="10" customFormat="1" x14ac:dyDescent="0.25">
      <c r="A69" s="12"/>
      <c r="B69" s="12"/>
      <c r="C69" s="12"/>
      <c r="D69"/>
      <c r="E69" t="s">
        <v>258</v>
      </c>
      <c r="F69" s="3" t="s">
        <v>223</v>
      </c>
      <c r="G69" s="3" t="s">
        <v>114</v>
      </c>
      <c r="H69" s="3" t="s">
        <v>47</v>
      </c>
      <c r="I69" s="33">
        <v>20</v>
      </c>
      <c r="J69" s="29">
        <v>1</v>
      </c>
      <c r="K69" s="10" t="str">
        <f xml:space="preserve"> IFERROR("0x" &amp; DEC2HEX(VLOOKUP(F69,Common!$C$10:$D$34,2,FALSE),2) &amp; DEC2HEX(I69,3) &amp; DEC2HEX(VLOOKUP(G69,Common!$C$51:$D$55,2,FALSE),1) &amp; DEC2HEX(1+2*VLOOKUP(H69,Common!$C$69:$D$72,2,FALSE),1) &amp; DEC2HEX(IFERROR(LOG(J69,2),0),1),0)</f>
        <v>0x05014570</v>
      </c>
      <c r="L69" s="3" t="str">
        <f t="shared" si="8"/>
        <v>MEAS_GAIN</v>
      </c>
      <c r="M69" t="s">
        <v>259</v>
      </c>
      <c r="N69" s="29">
        <v>0</v>
      </c>
      <c r="O69" s="29">
        <v>0</v>
      </c>
      <c r="P69" s="3">
        <v>3</v>
      </c>
      <c r="Q69" s="29"/>
      <c r="R69" s="29"/>
      <c r="S69" s="29"/>
      <c r="T69"/>
      <c r="U69"/>
      <c r="V69"/>
      <c r="W69"/>
      <c r="X69"/>
      <c r="Y69"/>
      <c r="Z69" s="12"/>
      <c r="AA69" s="12"/>
      <c r="AB69" s="12"/>
      <c r="AC69" s="12"/>
      <c r="AD69" s="12"/>
      <c r="AE69" s="12"/>
      <c r="AF69" s="12"/>
      <c r="AG69" s="12"/>
      <c r="AH69" s="12"/>
      <c r="AI69" s="12"/>
    </row>
    <row r="70" spans="1:35" s="10" customFormat="1" x14ac:dyDescent="0.25">
      <c r="A70" s="12"/>
      <c r="B70" s="12"/>
      <c r="C70" s="12"/>
      <c r="D70"/>
      <c r="E70"/>
      <c r="F70" s="3" t="s">
        <v>223</v>
      </c>
      <c r="G70" s="3"/>
      <c r="H70" s="3"/>
      <c r="I70" s="33">
        <v>21</v>
      </c>
      <c r="J70" s="29"/>
      <c r="K70" s="10">
        <f xml:space="preserve"> IFERROR("0x" &amp; DEC2HEX(VLOOKUP(F70,Common!$C$10:$D$34,2,FALSE),2) &amp; DEC2HEX(I70,3) &amp; DEC2HEX(VLOOKUP(G70,Common!$C$51:$D$55,2,FALSE),1) &amp; DEC2HEX(1+2*VLOOKUP(H70,Common!$C$69:$D$72,2,FALSE),1) &amp; DEC2HEX(IFERROR(LOG(J70,2),0),1),0)</f>
        <v>0</v>
      </c>
      <c r="L70" s="3" t="s">
        <v>260</v>
      </c>
      <c r="M70" t="s">
        <v>264</v>
      </c>
      <c r="N70" s="29"/>
      <c r="O70" s="29"/>
      <c r="P70" s="3"/>
      <c r="Q70" s="29"/>
      <c r="R70" s="29"/>
      <c r="S70" s="29"/>
      <c r="T70"/>
      <c r="U70"/>
      <c r="V70"/>
      <c r="W70"/>
      <c r="X70"/>
      <c r="Y70"/>
      <c r="Z70" s="12"/>
      <c r="AA70" s="12"/>
      <c r="AB70" s="12"/>
      <c r="AC70" s="12"/>
      <c r="AD70" s="12"/>
      <c r="AE70" s="12"/>
      <c r="AF70" s="12"/>
      <c r="AG70" s="12"/>
      <c r="AH70" s="12"/>
      <c r="AI70" s="12"/>
    </row>
    <row r="71" spans="1:35" s="10" customFormat="1" x14ac:dyDescent="0.25">
      <c r="A71" s="12"/>
      <c r="B71" s="12"/>
      <c r="C71" s="12"/>
      <c r="D71"/>
      <c r="E71"/>
      <c r="F71" s="3" t="s">
        <v>223</v>
      </c>
      <c r="G71" s="3"/>
      <c r="H71" s="3"/>
      <c r="I71" s="33">
        <v>21</v>
      </c>
      <c r="J71" s="29"/>
      <c r="K71" s="10">
        <f xml:space="preserve"> IFERROR("0x" &amp; DEC2HEX(VLOOKUP(F71,Common!$C$10:$D$34,2,FALSE),2) &amp; DEC2HEX(I71,3) &amp; DEC2HEX(VLOOKUP(G71,Common!$C$51:$D$55,2,FALSE),1) &amp; DEC2HEX(1+2*VLOOKUP(H71,Common!$C$69:$D$72,2,FALSE),1) &amp; DEC2HEX(IFERROR(LOG(J71,2),0),1),0)</f>
        <v>0</v>
      </c>
      <c r="L71" s="3" t="s">
        <v>261</v>
      </c>
      <c r="M71" t="s">
        <v>265</v>
      </c>
      <c r="N71" s="29"/>
      <c r="O71" s="29"/>
      <c r="P71" s="3"/>
      <c r="Q71" s="29"/>
      <c r="R71" s="29"/>
      <c r="S71" s="29"/>
      <c r="T71"/>
      <c r="U71"/>
      <c r="V71"/>
      <c r="W71"/>
      <c r="X71"/>
      <c r="Y71"/>
      <c r="Z71" s="12"/>
      <c r="AA71" s="12"/>
      <c r="AB71" s="12"/>
      <c r="AC71" s="12"/>
      <c r="AD71" s="12"/>
      <c r="AE71" s="12"/>
      <c r="AF71" s="12"/>
      <c r="AG71" s="12"/>
      <c r="AH71" s="12"/>
      <c r="AI71" s="12"/>
    </row>
    <row r="72" spans="1:35" s="10" customFormat="1" x14ac:dyDescent="0.25">
      <c r="A72" s="12"/>
      <c r="B72" s="12"/>
      <c r="C72" s="12"/>
      <c r="D72"/>
      <c r="E72"/>
      <c r="F72" s="3" t="s">
        <v>223</v>
      </c>
      <c r="G72" s="3"/>
      <c r="H72" s="3"/>
      <c r="I72" s="33">
        <v>21</v>
      </c>
      <c r="J72" s="29"/>
      <c r="K72" s="10">
        <f xml:space="preserve"> IFERROR("0x" &amp; DEC2HEX(VLOOKUP(F72,Common!$C$10:$D$34,2,FALSE),2) &amp; DEC2HEX(I72,3) &amp; DEC2HEX(VLOOKUP(G72,Common!$C$51:$D$55,2,FALSE),1) &amp; DEC2HEX(1+2*VLOOKUP(H72,Common!$C$69:$D$72,2,FALSE),1) &amp; DEC2HEX(IFERROR(LOG(J72,2),0),1),0)</f>
        <v>0</v>
      </c>
      <c r="L72" s="29" t="s">
        <v>262</v>
      </c>
      <c r="M72" t="s">
        <v>266</v>
      </c>
      <c r="N72" s="29"/>
      <c r="O72" s="29"/>
      <c r="P72" s="29"/>
      <c r="Q72" s="3"/>
      <c r="R72" s="29"/>
      <c r="S72" s="29"/>
      <c r="T72"/>
      <c r="U72"/>
      <c r="V72"/>
      <c r="W72"/>
      <c r="X72"/>
      <c r="Y72"/>
      <c r="Z72" s="12"/>
      <c r="AA72" s="12"/>
      <c r="AB72" s="12"/>
      <c r="AC72" s="12"/>
      <c r="AD72" s="12"/>
      <c r="AE72" s="12"/>
      <c r="AF72" s="12"/>
      <c r="AG72" s="12"/>
      <c r="AH72" s="12"/>
      <c r="AI72" s="12"/>
    </row>
    <row r="73" spans="1:35" s="10" customFormat="1" x14ac:dyDescent="0.25">
      <c r="A73" s="12"/>
      <c r="B73" s="12"/>
      <c r="C73" s="12"/>
      <c r="D73"/>
      <c r="E73" s="24"/>
      <c r="F73" s="23" t="s">
        <v>223</v>
      </c>
      <c r="G73" s="23"/>
      <c r="H73" s="26"/>
      <c r="I73" s="28">
        <v>21</v>
      </c>
      <c r="J73" s="28"/>
      <c r="K73" s="10">
        <f xml:space="preserve"> IFERROR("0x" &amp; DEC2HEX(VLOOKUP(F73,Common!$C$10:$D$34,2,FALSE),2) &amp; DEC2HEX(I73,3) &amp; DEC2HEX(VLOOKUP(G73,Common!$C$51:$D$55,2,FALSE),1) &amp; DEC2HEX(1+2*VLOOKUP(H73,Common!$C$69:$D$72,2,FALSE),1) &amp; DEC2HEX(IFERROR(LOG(J73,2),0),1),0)</f>
        <v>0</v>
      </c>
      <c r="L73" s="29" t="s">
        <v>263</v>
      </c>
      <c r="M73" s="21" t="s">
        <v>267</v>
      </c>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t="s">
        <v>268</v>
      </c>
      <c r="F74" s="23" t="s">
        <v>223</v>
      </c>
      <c r="G74" s="23" t="s">
        <v>48</v>
      </c>
      <c r="H74" s="26" t="s">
        <v>50</v>
      </c>
      <c r="I74" s="28">
        <v>21</v>
      </c>
      <c r="J74" s="28">
        <v>4</v>
      </c>
      <c r="K74" s="10" t="str">
        <f xml:space="preserve"> IFERROR("0x" &amp; DEC2HEX(VLOOKUP(F74,Common!$C$10:$D$34,2,FALSE),2) &amp; DEC2HEX(I74,3) &amp; DEC2HEX(VLOOKUP(G74,Common!$C$51:$D$55,2,FALSE),1) &amp; DEC2HEX(1+2*VLOOKUP(H74,Common!$C$69:$D$72,2,FALSE),1) &amp; DEC2HEX(IFERROR(LOG(J74,2),0),1),0)</f>
        <v>0x05015152</v>
      </c>
      <c r="L74" s="29" t="s">
        <v>269</v>
      </c>
      <c r="M74" s="21" t="s">
        <v>270</v>
      </c>
      <c r="N74" s="22">
        <v>0</v>
      </c>
      <c r="O74" s="22">
        <v>0</v>
      </c>
      <c r="P74" s="22">
        <v>1</v>
      </c>
      <c r="Q74" s="23"/>
      <c r="R74" s="23"/>
      <c r="S74" s="22"/>
      <c r="T74" s="21" t="s">
        <v>271</v>
      </c>
      <c r="U74"/>
      <c r="V74"/>
      <c r="W74"/>
      <c r="X74"/>
      <c r="Y74"/>
      <c r="Z74" s="12"/>
      <c r="AA74" s="12"/>
      <c r="AB74" s="12"/>
      <c r="AC74" s="12"/>
      <c r="AD74" s="12"/>
      <c r="AE74" s="12"/>
      <c r="AF74" s="12"/>
      <c r="AG74" s="12"/>
      <c r="AH74" s="12"/>
      <c r="AI74" s="12"/>
    </row>
    <row r="75" spans="1:35" s="10" customFormat="1" x14ac:dyDescent="0.25">
      <c r="A75" s="12"/>
      <c r="B75" s="12"/>
      <c r="C75" s="12"/>
      <c r="D75"/>
      <c r="E75" s="24"/>
      <c r="F75" s="23"/>
      <c r="G75" s="23"/>
      <c r="H75" s="26"/>
      <c r="I75" s="28"/>
      <c r="J75" s="28"/>
      <c r="L75" s="29"/>
      <c r="M75" s="21"/>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c r="F76" s="23"/>
      <c r="G76" s="23"/>
      <c r="H76" s="26"/>
      <c r="I76" s="22"/>
      <c r="J76" s="22"/>
      <c r="K76" s="22"/>
      <c r="L76" s="22"/>
      <c r="M76" s="21"/>
      <c r="N76" s="22"/>
      <c r="O76" s="22"/>
      <c r="P76" s="22"/>
      <c r="Q76" s="23"/>
      <c r="R76" s="23"/>
      <c r="S76" s="22"/>
      <c r="T76" s="21"/>
      <c r="U76"/>
      <c r="V76"/>
      <c r="W76"/>
      <c r="X76"/>
      <c r="Y76"/>
      <c r="Z76" s="12"/>
      <c r="AA76" s="12"/>
      <c r="AB76" s="12"/>
      <c r="AC76" s="12"/>
      <c r="AD76" s="12"/>
      <c r="AE76" s="12"/>
      <c r="AF76" s="12"/>
      <c r="AG76" s="12"/>
      <c r="AH76" s="12"/>
      <c r="AI76" s="12"/>
    </row>
    <row r="77" spans="1:35" s="10" customFormat="1" x14ac:dyDescent="0.25">
      <c r="A77" s="12"/>
      <c r="B77" s="12"/>
      <c r="C77" s="12"/>
      <c r="D77"/>
      <c r="E77" s="24"/>
      <c r="F77" s="23"/>
      <c r="G77" s="23"/>
      <c r="H77" s="26"/>
      <c r="I77" s="22"/>
      <c r="J77" s="22"/>
      <c r="K77" s="22"/>
      <c r="L77" s="22"/>
      <c r="M77" s="21"/>
      <c r="N77" s="22"/>
      <c r="O77" s="22"/>
      <c r="P77" s="22"/>
      <c r="Q77" s="23"/>
      <c r="R77" s="23"/>
      <c r="S77" s="22"/>
      <c r="T77" s="21"/>
      <c r="U77"/>
      <c r="V77"/>
      <c r="W77"/>
      <c r="X77"/>
      <c r="Y77"/>
      <c r="Z77" s="12"/>
      <c r="AA77" s="12"/>
      <c r="AB77" s="12"/>
      <c r="AC77" s="12"/>
      <c r="AD77" s="12"/>
      <c r="AE77" s="12"/>
      <c r="AF77" s="12"/>
      <c r="AG77" s="12"/>
      <c r="AH77" s="12"/>
      <c r="AI77" s="12"/>
    </row>
    <row r="78" spans="1:35" s="10" customFormat="1" x14ac:dyDescent="0.25">
      <c r="A78" s="12"/>
      <c r="B78" s="12"/>
      <c r="C78" s="12"/>
      <c r="D78"/>
      <c r="E78" s="24"/>
      <c r="F78" s="23"/>
      <c r="G78" s="23"/>
      <c r="H78" s="26"/>
      <c r="I78" s="22"/>
      <c r="J78" s="22"/>
      <c r="K78" s="22"/>
      <c r="L78" s="22"/>
      <c r="M78" s="21"/>
      <c r="N78" s="22"/>
      <c r="O78" s="22"/>
      <c r="P78" s="22"/>
      <c r="Q78" s="23"/>
      <c r="R78" s="23"/>
      <c r="S78" s="22"/>
      <c r="T78" s="21"/>
      <c r="U78"/>
      <c r="V78"/>
      <c r="W78"/>
      <c r="X78"/>
      <c r="Y78"/>
      <c r="Z78" s="12"/>
      <c r="AA78" s="12"/>
      <c r="AB78" s="12"/>
      <c r="AC78" s="12"/>
      <c r="AD78" s="12"/>
      <c r="AE78" s="12"/>
      <c r="AF78" s="12"/>
      <c r="AG78" s="12"/>
      <c r="AH78" s="12"/>
      <c r="AI78" s="12"/>
    </row>
    <row r="79" spans="1:35" s="10" customFormat="1" x14ac:dyDescent="0.25">
      <c r="A79" s="12"/>
      <c r="B79" s="12"/>
      <c r="C79" s="12"/>
      <c r="D79"/>
      <c r="E79" s="24"/>
      <c r="F79" s="23"/>
      <c r="G79" s="22"/>
      <c r="H79" s="25"/>
      <c r="I79" s="22"/>
      <c r="J79" s="22"/>
      <c r="K79" s="22"/>
      <c r="L79" s="22"/>
      <c r="M79" s="24"/>
      <c r="N79" s="22"/>
      <c r="O79" s="22"/>
      <c r="P79" s="22"/>
      <c r="Q79" s="22"/>
      <c r="R79" s="22"/>
      <c r="S79" s="22"/>
      <c r="T79" s="19"/>
      <c r="U79"/>
      <c r="V79"/>
      <c r="W79"/>
      <c r="X79"/>
      <c r="Y79"/>
      <c r="Z79" s="12"/>
      <c r="AA79" s="12"/>
      <c r="AB79" s="12"/>
      <c r="AC79" s="12"/>
      <c r="AD79" s="12"/>
      <c r="AE79" s="12"/>
      <c r="AF79" s="12"/>
      <c r="AG79" s="12"/>
      <c r="AH79" s="12"/>
      <c r="AI79" s="12"/>
    </row>
    <row r="80" spans="1:35" s="10" customFormat="1" x14ac:dyDescent="0.25">
      <c r="A80" s="12"/>
      <c r="B80" s="12"/>
      <c r="C80" s="12"/>
      <c r="D80"/>
      <c r="E80" s="24"/>
      <c r="F80" s="23"/>
      <c r="G80" s="22"/>
      <c r="H80" s="22"/>
      <c r="I80" s="22"/>
      <c r="J80" s="22"/>
      <c r="K80" s="22"/>
      <c r="L80" s="22"/>
      <c r="M80" s="21"/>
      <c r="N80" s="22"/>
      <c r="O80" s="22"/>
      <c r="P80" s="22"/>
      <c r="Q80" s="22"/>
      <c r="R80" s="22"/>
      <c r="S80" s="22"/>
      <c r="T80" s="19"/>
      <c r="U80"/>
      <c r="V80"/>
      <c r="W80"/>
      <c r="X80"/>
      <c r="Y80"/>
      <c r="Z80" s="12"/>
      <c r="AA80" s="12"/>
      <c r="AB80" s="12"/>
      <c r="AC80" s="12"/>
      <c r="AD80" s="12"/>
      <c r="AE80" s="12"/>
      <c r="AF80" s="12"/>
      <c r="AG80" s="12"/>
      <c r="AH80" s="12"/>
      <c r="AI80" s="12"/>
    </row>
    <row r="81" spans="1:35" s="10" customFormat="1" x14ac:dyDescent="0.25">
      <c r="A81" s="12"/>
      <c r="B81" s="12"/>
      <c r="C81" s="12"/>
      <c r="D81"/>
      <c r="E81" s="24"/>
      <c r="F81" s="23"/>
      <c r="G81" s="23"/>
      <c r="H81" s="26"/>
      <c r="I81" s="22"/>
      <c r="J81" s="22"/>
      <c r="K81" s="22"/>
      <c r="L81" s="22"/>
      <c r="M81" s="24"/>
      <c r="N81" s="22"/>
      <c r="O81" s="22"/>
      <c r="P81" s="22"/>
      <c r="Q81" s="22"/>
      <c r="R81" s="28"/>
      <c r="S81" s="22"/>
      <c r="T81" s="24"/>
      <c r="U81"/>
      <c r="V81"/>
      <c r="W81"/>
      <c r="X81"/>
      <c r="Y81"/>
      <c r="Z81" s="12"/>
      <c r="AA81" s="12"/>
      <c r="AB81" s="12"/>
      <c r="AC81" s="12"/>
      <c r="AD81" s="12"/>
      <c r="AE81" s="12"/>
      <c r="AF81" s="12"/>
      <c r="AG81" s="12"/>
      <c r="AH81" s="12"/>
      <c r="AI81" s="12"/>
    </row>
    <row r="82" spans="1:35" s="10" customFormat="1" x14ac:dyDescent="0.25">
      <c r="A82" s="12"/>
      <c r="B82" s="12"/>
      <c r="C82" s="12"/>
      <c r="D82"/>
      <c r="E82" s="19"/>
      <c r="F82" s="23"/>
      <c r="G82" s="22"/>
      <c r="H82" s="22"/>
      <c r="I82" s="22"/>
      <c r="J82" s="22"/>
      <c r="K82" s="22"/>
      <c r="L82" s="23"/>
      <c r="M82" s="24"/>
      <c r="N82" s="22"/>
      <c r="O82" s="22"/>
      <c r="P82" s="22"/>
      <c r="Q82" s="22"/>
      <c r="R82" s="28"/>
      <c r="S82" s="22"/>
      <c r="T82" s="24"/>
      <c r="U82"/>
      <c r="V82"/>
      <c r="W82"/>
      <c r="X82"/>
      <c r="Y82"/>
      <c r="Z82" s="12"/>
      <c r="AA82" s="12"/>
      <c r="AB82" s="12"/>
      <c r="AC82" s="12"/>
      <c r="AD82" s="12"/>
      <c r="AE82" s="12"/>
      <c r="AF82" s="12"/>
      <c r="AG82" s="12"/>
      <c r="AH82" s="12"/>
      <c r="AI82" s="12"/>
    </row>
    <row r="83" spans="1:35" s="10" customFormat="1" x14ac:dyDescent="0.25">
      <c r="A83" s="12"/>
      <c r="B83" s="12"/>
      <c r="C83" s="12"/>
      <c r="D83"/>
      <c r="E83" s="19"/>
      <c r="F83" s="23"/>
      <c r="G83" s="22"/>
      <c r="H83" s="25"/>
      <c r="I83" s="22"/>
      <c r="J83" s="22"/>
      <c r="K83" s="22"/>
      <c r="L83" s="23"/>
      <c r="M83" s="24"/>
      <c r="N83" s="22"/>
      <c r="O83" s="22"/>
      <c r="P83" s="22"/>
      <c r="Q83" s="22"/>
      <c r="R83" s="28"/>
      <c r="S83" s="22"/>
      <c r="T83" s="24"/>
      <c r="U83"/>
      <c r="V83"/>
      <c r="W83"/>
      <c r="X83"/>
      <c r="Y83"/>
      <c r="Z83" s="12"/>
      <c r="AA83" s="12"/>
      <c r="AB83" s="12"/>
      <c r="AC83" s="12"/>
      <c r="AD83" s="12"/>
      <c r="AE83" s="12"/>
      <c r="AF83" s="12"/>
      <c r="AG83" s="12"/>
      <c r="AH83" s="12"/>
      <c r="AI83" s="12"/>
    </row>
    <row r="84" spans="1:35" s="10" customFormat="1" x14ac:dyDescent="0.25">
      <c r="A84" s="12"/>
      <c r="B84" s="12"/>
      <c r="C84" s="12"/>
      <c r="D84"/>
      <c r="E84" s="19"/>
      <c r="F84" s="23"/>
      <c r="G84" s="22"/>
      <c r="H84" s="22"/>
      <c r="I84" s="22"/>
      <c r="J84" s="22"/>
      <c r="K84" s="22"/>
      <c r="L84" s="23"/>
      <c r="M84" s="24"/>
      <c r="N84" s="22"/>
      <c r="O84" s="22"/>
      <c r="P84" s="22"/>
      <c r="Q84" s="22"/>
      <c r="R84" s="28"/>
      <c r="S84" s="22"/>
      <c r="T84" s="24"/>
      <c r="U84"/>
      <c r="V84"/>
      <c r="W84"/>
      <c r="X84"/>
      <c r="Y84"/>
      <c r="Z84" s="12"/>
      <c r="AA84" s="12"/>
      <c r="AB84" s="12"/>
      <c r="AC84" s="12"/>
      <c r="AD84" s="12"/>
      <c r="AE84" s="12"/>
      <c r="AF84" s="12"/>
      <c r="AG84" s="12"/>
      <c r="AH84" s="12"/>
      <c r="AI84" s="12"/>
    </row>
    <row r="85" spans="1:35" s="10" customFormat="1" x14ac:dyDescent="0.25">
      <c r="A85" s="12"/>
      <c r="B85" s="12"/>
      <c r="C85" s="12"/>
      <c r="D85"/>
      <c r="E85" s="19"/>
      <c r="F85" s="23"/>
      <c r="G85" s="22"/>
      <c r="H85" s="22"/>
      <c r="I85" s="22"/>
      <c r="J85" s="22"/>
      <c r="K85" s="22"/>
      <c r="L85" s="23"/>
      <c r="M85" s="24"/>
      <c r="N85" s="22"/>
      <c r="O85" s="22"/>
      <c r="P85" s="22"/>
      <c r="Q85" s="22"/>
      <c r="R85" s="28"/>
      <c r="S85" s="22"/>
      <c r="T85" s="24"/>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3"/>
      <c r="I86" s="22"/>
      <c r="J86" s="22"/>
      <c r="K86" s="22"/>
      <c r="L86" s="22"/>
      <c r="M86" s="24"/>
      <c r="N86" s="22"/>
      <c r="O86" s="22"/>
      <c r="P86" s="22"/>
      <c r="Q86" s="22"/>
      <c r="R86" s="28"/>
      <c r="S86" s="22"/>
      <c r="T86" s="24"/>
      <c r="U86"/>
      <c r="V86"/>
      <c r="W86"/>
      <c r="X86"/>
      <c r="Y86"/>
      <c r="Z86" s="12"/>
      <c r="AA86" s="12"/>
      <c r="AB86" s="12"/>
      <c r="AC86" s="12"/>
      <c r="AD86" s="12"/>
      <c r="AE86" s="12"/>
      <c r="AF86" s="12"/>
      <c r="AG86" s="12"/>
      <c r="AH86" s="12"/>
      <c r="AI86" s="12"/>
    </row>
    <row r="87" spans="1:35" s="10" customFormat="1" x14ac:dyDescent="0.25">
      <c r="A87" s="12"/>
      <c r="B87" s="12"/>
      <c r="C87" s="12"/>
      <c r="D87"/>
      <c r="E87" s="19"/>
      <c r="F87" s="23"/>
      <c r="G87" s="22"/>
      <c r="H87" s="22"/>
      <c r="I87" s="22"/>
      <c r="J87" s="22"/>
      <c r="K87" s="22"/>
      <c r="L87" s="23"/>
      <c r="M87" s="24"/>
      <c r="N87" s="22"/>
      <c r="O87" s="22"/>
      <c r="P87" s="22"/>
      <c r="Q87" s="22"/>
      <c r="R87" s="28"/>
      <c r="S87" s="22"/>
      <c r="T87" s="24"/>
      <c r="U87"/>
      <c r="V87"/>
      <c r="W87"/>
      <c r="X87"/>
      <c r="Y87"/>
      <c r="Z87" s="12"/>
      <c r="AA87" s="12"/>
      <c r="AB87" s="12"/>
      <c r="AC87" s="12"/>
      <c r="AD87" s="12"/>
      <c r="AE87" s="12"/>
      <c r="AF87" s="12"/>
      <c r="AG87" s="12"/>
      <c r="AH87" s="12"/>
      <c r="AI87" s="12"/>
    </row>
    <row r="88" spans="1:35" s="10" customFormat="1" x14ac:dyDescent="0.25">
      <c r="A88" s="12"/>
      <c r="B88" s="12"/>
      <c r="C88" s="12"/>
      <c r="D88"/>
      <c r="E88" s="19"/>
      <c r="F88" s="23"/>
      <c r="G88" s="22"/>
      <c r="H88" s="22"/>
      <c r="I88" s="22"/>
      <c r="J88" s="22"/>
      <c r="K88" s="22"/>
      <c r="L88" s="23"/>
      <c r="M88" s="21"/>
      <c r="N88" s="22"/>
      <c r="O88" s="22"/>
      <c r="P88" s="22"/>
      <c r="Q88" s="22"/>
      <c r="R88" s="28"/>
      <c r="S88" s="22"/>
      <c r="T88" s="24"/>
      <c r="U88"/>
      <c r="V88"/>
      <c r="W88"/>
      <c r="X88"/>
      <c r="Y88"/>
      <c r="Z88" s="12"/>
      <c r="AA88" s="12"/>
      <c r="AB88" s="12"/>
      <c r="AC88" s="12"/>
      <c r="AD88" s="12"/>
      <c r="AE88" s="12"/>
      <c r="AF88" s="12"/>
      <c r="AG88" s="12"/>
      <c r="AH88" s="12"/>
      <c r="AI88" s="12"/>
    </row>
    <row r="89" spans="1:35" s="10" customFormat="1" x14ac:dyDescent="0.25">
      <c r="A89" s="12"/>
      <c r="B89" s="12"/>
      <c r="C89" s="12"/>
      <c r="D89"/>
      <c r="E89" s="21"/>
      <c r="F89" s="23"/>
      <c r="G89" s="23"/>
      <c r="H89" s="23"/>
      <c r="I89" s="22"/>
      <c r="J89" s="22"/>
      <c r="K89" s="22"/>
      <c r="L89" s="22"/>
      <c r="M89" s="21"/>
      <c r="N89" s="22"/>
      <c r="O89" s="22"/>
      <c r="P89" s="22"/>
      <c r="Q89" s="22"/>
      <c r="R89" s="22"/>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3"/>
      <c r="I90" s="22"/>
      <c r="J90" s="22"/>
      <c r="K90" s="22"/>
      <c r="L90" s="23"/>
      <c r="M90" s="21"/>
      <c r="N90" s="22"/>
      <c r="O90" s="22"/>
      <c r="P90" s="22"/>
      <c r="Q90" s="22"/>
      <c r="R90" s="28"/>
      <c r="S90" s="22"/>
      <c r="T90" s="24"/>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3"/>
      <c r="I91" s="22"/>
      <c r="J91" s="22"/>
      <c r="K91" s="22"/>
      <c r="L91" s="23"/>
      <c r="M91" s="21"/>
      <c r="N91" s="22"/>
      <c r="O91" s="22"/>
      <c r="P91" s="22"/>
      <c r="Q91" s="22"/>
      <c r="R91" s="28"/>
      <c r="S91" s="22"/>
      <c r="T91" s="24"/>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3"/>
      <c r="I92" s="22"/>
      <c r="J92" s="22"/>
      <c r="K92" s="22"/>
      <c r="L92" s="22"/>
      <c r="M92" s="21"/>
      <c r="N92" s="22"/>
      <c r="O92" s="22"/>
      <c r="P92" s="22"/>
      <c r="Q92" s="22"/>
      <c r="R92" s="28"/>
      <c r="S92" s="22"/>
      <c r="T92" s="24"/>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30"/>
      <c r="N93" s="22"/>
      <c r="O93" s="22"/>
      <c r="P93" s="22"/>
      <c r="Q93" s="23"/>
      <c r="R93" s="23"/>
      <c r="S93" s="22"/>
      <c r="T93" s="27"/>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4"/>
      <c r="N94" s="22"/>
      <c r="O94" s="22"/>
      <c r="P94" s="22"/>
      <c r="Q94" s="23"/>
      <c r="R94" s="23"/>
      <c r="S94" s="22"/>
      <c r="T94" s="24"/>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4"/>
      <c r="N95" s="22"/>
      <c r="O95" s="22"/>
      <c r="P95" s="22"/>
      <c r="Q95" s="23"/>
      <c r="R95" s="23"/>
      <c r="S95" s="22"/>
      <c r="T95" s="24"/>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4"/>
      <c r="N96" s="22"/>
      <c r="O96" s="22"/>
      <c r="P96" s="22"/>
      <c r="Q96" s="23"/>
      <c r="R96" s="23"/>
      <c r="S96" s="22"/>
      <c r="T96" s="24"/>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4"/>
      <c r="N97" s="22"/>
      <c r="O97" s="22"/>
      <c r="P97" s="22"/>
      <c r="Q97" s="23"/>
      <c r="R97" s="23"/>
      <c r="S97" s="22"/>
      <c r="T97" s="24"/>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1"/>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3"/>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3"/>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3"/>
      <c r="I107" s="22"/>
      <c r="J107" s="22"/>
      <c r="K107" s="22"/>
      <c r="L107" s="22"/>
      <c r="M107" s="21"/>
      <c r="N107" s="22"/>
      <c r="O107" s="22"/>
      <c r="P107" s="22"/>
      <c r="Q107" s="23"/>
      <c r="R107" s="23"/>
      <c r="S107" s="22"/>
      <c r="T107" s="21"/>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3"/>
      <c r="I108" s="22"/>
      <c r="J108" s="22"/>
      <c r="K108" s="22"/>
      <c r="L108" s="22"/>
      <c r="M108" s="21"/>
      <c r="N108" s="22"/>
      <c r="O108" s="22"/>
      <c r="P108" s="22"/>
      <c r="Q108" s="23"/>
      <c r="R108" s="23"/>
      <c r="S108" s="22"/>
      <c r="T108" s="21"/>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3"/>
      <c r="I109" s="22"/>
      <c r="J109" s="22"/>
      <c r="K109" s="22"/>
      <c r="L109" s="22"/>
      <c r="M109" s="21"/>
      <c r="N109" s="22"/>
      <c r="O109" s="22"/>
      <c r="P109" s="22"/>
      <c r="Q109" s="23"/>
      <c r="R109" s="23"/>
      <c r="S109" s="22"/>
      <c r="T109" s="21"/>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3"/>
      <c r="I110" s="22"/>
      <c r="J110" s="22"/>
      <c r="K110" s="22"/>
      <c r="L110" s="22"/>
      <c r="M110" s="21"/>
      <c r="N110" s="22"/>
      <c r="O110" s="22"/>
      <c r="P110" s="22"/>
      <c r="Q110" s="23"/>
      <c r="R110" s="23"/>
      <c r="S110" s="22"/>
      <c r="T110" s="21"/>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1"/>
      <c r="N111" s="22"/>
      <c r="O111" s="22"/>
      <c r="P111" s="22"/>
      <c r="Q111" s="23"/>
      <c r="R111" s="23"/>
      <c r="S111" s="22"/>
      <c r="T111" s="21"/>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4"/>
      <c r="F112" s="23"/>
      <c r="G112" s="23"/>
      <c r="H112" s="26"/>
      <c r="I112" s="22"/>
      <c r="J112" s="22"/>
      <c r="K112" s="22"/>
      <c r="L112" s="22"/>
      <c r="M112" s="21"/>
      <c r="N112" s="22"/>
      <c r="O112" s="22"/>
      <c r="P112" s="22"/>
      <c r="Q112" s="22"/>
      <c r="R112" s="28"/>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1"/>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1"/>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1"/>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6"/>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1"/>
      <c r="F117" s="23"/>
      <c r="G117" s="23"/>
      <c r="H117" s="26"/>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1"/>
      <c r="F118" s="23"/>
      <c r="G118" s="23"/>
      <c r="H118" s="26"/>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2"/>
      <c r="F119" s="22"/>
      <c r="G119" s="22"/>
      <c r="H119" s="22"/>
      <c r="I119" s="22"/>
      <c r="J119" s="22"/>
      <c r="K119" s="22"/>
      <c r="L119" s="22"/>
      <c r="M119" s="22"/>
      <c r="N119" s="22"/>
      <c r="O119" s="22"/>
      <c r="P119" s="22"/>
      <c r="Q119" s="22"/>
      <c r="R119" s="28"/>
      <c r="S119" s="22"/>
      <c r="T119" s="22"/>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1"/>
      <c r="F120" s="23"/>
      <c r="G120" s="23"/>
      <c r="H120" s="26"/>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4"/>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6"/>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s="12"/>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s="12"/>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s="12"/>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s="12"/>
      <c r="Z152" s="12"/>
      <c r="AA152" s="12"/>
      <c r="AB152" s="12"/>
      <c r="AC152" s="12"/>
      <c r="AD152" s="12"/>
      <c r="AE152" s="12"/>
      <c r="AF152" s="12"/>
      <c r="AG152" s="12"/>
      <c r="AH152" s="12"/>
      <c r="AI152" s="12"/>
    </row>
    <row r="153" spans="1:35" s="10" customFormat="1" x14ac:dyDescent="0.25">
      <c r="A153" s="12"/>
      <c r="B153" s="12"/>
      <c r="C153" s="12"/>
      <c r="D153"/>
      <c r="E153" s="24"/>
      <c r="F153" s="23"/>
      <c r="G153" s="22"/>
      <c r="H153" s="25"/>
      <c r="I153" s="22"/>
      <c r="J153" s="22"/>
      <c r="K153" s="22"/>
      <c r="L153" s="22"/>
      <c r="M153" s="24"/>
      <c r="N153" s="22"/>
      <c r="O153" s="22"/>
      <c r="P153" s="22"/>
      <c r="Q153" s="22"/>
      <c r="R153" s="22"/>
      <c r="S153" s="22"/>
      <c r="T153" s="19"/>
      <c r="U153"/>
      <c r="V153"/>
      <c r="W153"/>
      <c r="X153"/>
      <c r="Y153" s="12"/>
      <c r="Z153" s="12"/>
      <c r="AA153" s="12"/>
      <c r="AB153" s="12"/>
      <c r="AC153" s="12"/>
      <c r="AD153" s="12"/>
      <c r="AE153" s="12"/>
      <c r="AF153" s="12"/>
      <c r="AG153" s="12"/>
      <c r="AH153" s="12"/>
      <c r="AI153" s="12"/>
    </row>
    <row r="154" spans="1:35" s="10" customFormat="1" x14ac:dyDescent="0.25">
      <c r="A154" s="12"/>
      <c r="B154" s="12"/>
      <c r="C154" s="12"/>
      <c r="D154"/>
      <c r="E154"/>
      <c r="F154"/>
      <c r="G154"/>
      <c r="H154"/>
      <c r="I154"/>
      <c r="J154"/>
      <c r="K154"/>
      <c r="L154"/>
      <c r="M154"/>
      <c r="N154"/>
      <c r="O154"/>
      <c r="P154"/>
      <c r="Q154"/>
      <c r="R154"/>
      <c r="S154"/>
      <c r="T154"/>
      <c r="U154"/>
      <c r="V154"/>
      <c r="W154"/>
      <c r="X154"/>
      <c r="Y154" s="12"/>
      <c r="Z154" s="12"/>
      <c r="AA154" s="12"/>
      <c r="AB154" s="12"/>
      <c r="AC154" s="12"/>
      <c r="AD154" s="12"/>
      <c r="AE154" s="12"/>
      <c r="AF154" s="12"/>
      <c r="AG154" s="12"/>
      <c r="AH154" s="12"/>
      <c r="AI154" s="12"/>
    </row>
    <row r="155" spans="1:35" s="10" customFormat="1" x14ac:dyDescent="0.25">
      <c r="A155" s="12"/>
      <c r="B155" s="12"/>
      <c r="C155" s="12"/>
      <c r="D155"/>
      <c r="E155"/>
      <c r="F155"/>
      <c r="G155"/>
      <c r="H155"/>
      <c r="I155"/>
      <c r="J155"/>
      <c r="K155"/>
      <c r="L155"/>
      <c r="M155"/>
      <c r="N155"/>
      <c r="O155"/>
      <c r="P155"/>
      <c r="Q155"/>
      <c r="R155"/>
      <c r="S155"/>
      <c r="T155"/>
      <c r="U155"/>
      <c r="V155"/>
      <c r="W155"/>
      <c r="X155"/>
      <c r="Y155" s="12"/>
      <c r="Z155" s="12"/>
      <c r="AA155" s="12"/>
      <c r="AB155" s="12"/>
      <c r="AC155" s="12"/>
      <c r="AD155" s="12"/>
      <c r="AE155" s="12"/>
      <c r="AF155" s="12"/>
      <c r="AG155" s="12"/>
      <c r="AH155" s="12"/>
      <c r="AI155" s="12"/>
    </row>
    <row r="156" spans="1:35" s="10" customFormat="1" x14ac:dyDescent="0.25">
      <c r="A156" s="12"/>
      <c r="B156" s="12"/>
      <c r="C156" s="12"/>
      <c r="D156"/>
      <c r="E156"/>
      <c r="F156"/>
      <c r="G156"/>
      <c r="H156"/>
      <c r="I156"/>
      <c r="J156"/>
      <c r="K156"/>
      <c r="L156"/>
      <c r="M156"/>
      <c r="N156"/>
      <c r="O156"/>
      <c r="P156"/>
      <c r="Q156"/>
      <c r="R156"/>
      <c r="S156"/>
      <c r="T156"/>
      <c r="U156"/>
      <c r="V156"/>
      <c r="W156"/>
      <c r="X156"/>
      <c r="Y156" s="12"/>
      <c r="Z156" s="12"/>
      <c r="AA156" s="12"/>
      <c r="AB156" s="12"/>
      <c r="AC156" s="12"/>
      <c r="AD156" s="12"/>
      <c r="AE156" s="12"/>
      <c r="AF156" s="12"/>
      <c r="AG156" s="12"/>
      <c r="AH156" s="12"/>
      <c r="AI156" s="12"/>
    </row>
    <row r="157" spans="1:35" s="10" customFormat="1" x14ac:dyDescent="0.25">
      <c r="A157" s="12"/>
      <c r="B157" s="12"/>
      <c r="C157" s="12"/>
      <c r="D157"/>
      <c r="E157"/>
      <c r="F157"/>
      <c r="G157"/>
      <c r="H157"/>
      <c r="I157"/>
      <c r="J157"/>
      <c r="K157"/>
      <c r="L157"/>
      <c r="M157"/>
      <c r="N157"/>
      <c r="O157"/>
      <c r="P157"/>
      <c r="Q157"/>
      <c r="R157"/>
      <c r="S157"/>
      <c r="T157"/>
      <c r="U157"/>
      <c r="V157"/>
      <c r="W157"/>
      <c r="X157"/>
      <c r="Y157" s="12"/>
      <c r="Z157" s="12"/>
      <c r="AA157" s="12"/>
      <c r="AB157" s="12"/>
      <c r="AC157" s="12"/>
      <c r="AD157" s="12"/>
      <c r="AE157" s="12"/>
      <c r="AF157" s="12"/>
      <c r="AG157" s="12"/>
      <c r="AH157" s="12"/>
      <c r="AI157" s="12"/>
    </row>
    <row r="158" spans="1:35" s="10" customFormat="1" x14ac:dyDescent="0.25">
      <c r="A158" s="12"/>
      <c r="B158" s="12"/>
      <c r="C158" s="12"/>
      <c r="D158"/>
      <c r="E158"/>
      <c r="F158"/>
      <c r="G158"/>
      <c r="H158"/>
      <c r="I158"/>
      <c r="J158"/>
      <c r="K158"/>
      <c r="L158"/>
      <c r="M158"/>
      <c r="N158"/>
      <c r="O158"/>
      <c r="P158"/>
      <c r="Q158"/>
      <c r="R158"/>
      <c r="S158"/>
      <c r="T158"/>
      <c r="U158"/>
      <c r="V158"/>
      <c r="W158"/>
      <c r="X158"/>
      <c r="Y158" s="12"/>
      <c r="Z158" s="12"/>
      <c r="AA158" s="12"/>
      <c r="AB158" s="12"/>
      <c r="AC158" s="12"/>
      <c r="AD158" s="12"/>
      <c r="AE158" s="12"/>
      <c r="AF158" s="12"/>
      <c r="AG158" s="12"/>
      <c r="AH158" s="12"/>
      <c r="AI158" s="12"/>
    </row>
    <row r="159" spans="1:35" s="10" customFormat="1" x14ac:dyDescent="0.25">
      <c r="A159" s="12"/>
      <c r="B159" s="12"/>
      <c r="C159" s="12"/>
      <c r="D159"/>
      <c r="E159"/>
      <c r="F159"/>
      <c r="G159"/>
      <c r="H159"/>
      <c r="I159"/>
      <c r="J159"/>
      <c r="K159"/>
      <c r="L159"/>
      <c r="M159"/>
      <c r="N159"/>
      <c r="O159"/>
      <c r="P159"/>
      <c r="Q159"/>
      <c r="R159"/>
      <c r="S159"/>
      <c r="T159"/>
      <c r="U159"/>
      <c r="V159"/>
      <c r="W159"/>
      <c r="X159"/>
      <c r="Y159" s="12"/>
      <c r="Z159" s="12"/>
      <c r="AA159" s="12"/>
      <c r="AB159" s="12"/>
      <c r="AC159" s="12"/>
      <c r="AD159" s="12"/>
      <c r="AE159" s="12"/>
      <c r="AF159" s="12"/>
      <c r="AG159" s="12"/>
      <c r="AH159" s="12"/>
      <c r="AI159" s="12"/>
    </row>
    <row r="160" spans="1:35" s="10" customFormat="1" x14ac:dyDescent="0.25">
      <c r="A160" s="12"/>
      <c r="B160" s="12"/>
      <c r="C160" s="12"/>
      <c r="D160"/>
      <c r="E160"/>
      <c r="F160"/>
      <c r="G160"/>
      <c r="H160"/>
      <c r="I160"/>
      <c r="J160"/>
      <c r="K160"/>
      <c r="L160"/>
      <c r="M160"/>
      <c r="N160"/>
      <c r="O160"/>
      <c r="P160"/>
      <c r="Q160"/>
      <c r="R160"/>
      <c r="S160"/>
      <c r="T160"/>
      <c r="U160"/>
      <c r="V160"/>
      <c r="W160"/>
      <c r="X160"/>
      <c r="Y160" s="12"/>
      <c r="Z160" s="12"/>
      <c r="AA160" s="12"/>
      <c r="AB160" s="12"/>
      <c r="AC160" s="12"/>
      <c r="AD160" s="12"/>
      <c r="AE160" s="12"/>
      <c r="AF160" s="12"/>
      <c r="AG160" s="12"/>
      <c r="AH160" s="12"/>
      <c r="AI160" s="12"/>
    </row>
    <row r="161" spans="1:35" s="10" customFormat="1" x14ac:dyDescent="0.25">
      <c r="A161" s="12"/>
      <c r="B161" s="12"/>
      <c r="C161" s="12"/>
      <c r="D161"/>
      <c r="E161"/>
      <c r="F161"/>
      <c r="G161"/>
      <c r="H161"/>
      <c r="I161"/>
      <c r="J161"/>
      <c r="K161"/>
      <c r="L161"/>
      <c r="M161"/>
      <c r="N161"/>
      <c r="O161"/>
      <c r="P161"/>
      <c r="Q161"/>
      <c r="R161"/>
      <c r="S161"/>
      <c r="T161"/>
      <c r="U161"/>
      <c r="V161"/>
      <c r="W161"/>
      <c r="X161"/>
      <c r="Y161" s="12"/>
      <c r="Z161" s="12"/>
      <c r="AA161" s="12"/>
      <c r="AB161" s="12"/>
      <c r="AC161" s="12"/>
      <c r="AD161" s="12"/>
      <c r="AE161" s="12"/>
      <c r="AF161" s="12"/>
      <c r="AG161" s="12"/>
      <c r="AH161" s="12"/>
      <c r="AI161" s="12"/>
    </row>
    <row r="162" spans="1:35" s="10" customFormat="1" x14ac:dyDescent="0.25">
      <c r="A162" s="12"/>
      <c r="B162" s="12"/>
      <c r="C162" s="12"/>
      <c r="D162"/>
      <c r="E162"/>
      <c r="F162"/>
      <c r="G162"/>
      <c r="H162"/>
      <c r="I162"/>
      <c r="J162"/>
      <c r="K162"/>
      <c r="L162"/>
      <c r="M162"/>
      <c r="N162"/>
      <c r="O162"/>
      <c r="P162"/>
      <c r="Q162"/>
      <c r="R162"/>
      <c r="S162"/>
      <c r="T162"/>
      <c r="U162"/>
      <c r="V162"/>
      <c r="W162"/>
      <c r="X162"/>
      <c r="Y162" s="12"/>
      <c r="Z162" s="12"/>
      <c r="AA162" s="12"/>
      <c r="AB162" s="12"/>
      <c r="AC162" s="12"/>
      <c r="AD162" s="12"/>
      <c r="AE162" s="12"/>
      <c r="AF162" s="12"/>
      <c r="AG162" s="12"/>
      <c r="AH162" s="12"/>
      <c r="AI162" s="12"/>
    </row>
    <row r="163" spans="1:35" s="10" customFormat="1" x14ac:dyDescent="0.25">
      <c r="A163" s="12"/>
      <c r="B163" s="12"/>
      <c r="C163" s="12"/>
      <c r="D163"/>
      <c r="E163"/>
      <c r="F163"/>
      <c r="G163"/>
      <c r="H163"/>
      <c r="I163"/>
      <c r="J163"/>
      <c r="K163"/>
      <c r="L163"/>
      <c r="M163"/>
      <c r="N163"/>
      <c r="O163"/>
      <c r="P163"/>
      <c r="Q163"/>
      <c r="R163"/>
      <c r="S163"/>
      <c r="T163"/>
      <c r="U163"/>
      <c r="V163"/>
      <c r="W163"/>
      <c r="X163"/>
      <c r="Y163" s="12"/>
      <c r="Z163" s="12"/>
      <c r="AA163" s="12"/>
      <c r="AB163" s="12"/>
      <c r="AC163" s="12"/>
      <c r="AD163" s="12"/>
      <c r="AE163" s="12"/>
      <c r="AF163" s="12"/>
      <c r="AG163" s="12"/>
      <c r="AH163" s="12"/>
      <c r="AI163" s="12"/>
    </row>
    <row r="164" spans="1:35" s="10" customFormat="1" x14ac:dyDescent="0.25">
      <c r="A164" s="12"/>
      <c r="B164" s="12"/>
      <c r="C164" s="12"/>
      <c r="D164"/>
      <c r="E164"/>
      <c r="F164"/>
      <c r="G164"/>
      <c r="H164"/>
      <c r="I164"/>
      <c r="J164"/>
      <c r="K164"/>
      <c r="L164"/>
      <c r="M164"/>
      <c r="N164"/>
      <c r="O164"/>
      <c r="P164"/>
      <c r="Q164"/>
      <c r="R164"/>
      <c r="S164"/>
      <c r="T164"/>
      <c r="U164"/>
      <c r="V164"/>
      <c r="W164"/>
      <c r="X164"/>
      <c r="Y164" s="12"/>
      <c r="Z164" s="12"/>
      <c r="AA164" s="12"/>
      <c r="AB164" s="12"/>
      <c r="AC164" s="12"/>
      <c r="AD164" s="12"/>
      <c r="AE164" s="12"/>
      <c r="AF164" s="12"/>
      <c r="AG164" s="12"/>
      <c r="AH164" s="12"/>
      <c r="AI164" s="12"/>
    </row>
    <row r="165" spans="1:35" s="10" customFormat="1" x14ac:dyDescent="0.25">
      <c r="A165" s="12"/>
      <c r="B165" s="12"/>
      <c r="C165" s="12"/>
      <c r="D165"/>
      <c r="E165"/>
      <c r="F165"/>
      <c r="G165"/>
      <c r="H165"/>
      <c r="I165"/>
      <c r="J165"/>
      <c r="K165"/>
      <c r="L165"/>
      <c r="M165"/>
      <c r="N165"/>
      <c r="O165"/>
      <c r="P165"/>
      <c r="Q165"/>
      <c r="R165"/>
      <c r="S165"/>
      <c r="T165"/>
      <c r="U165"/>
      <c r="V165"/>
      <c r="W165"/>
      <c r="X165"/>
      <c r="Y165" s="12"/>
      <c r="Z165" s="12"/>
      <c r="AA165" s="12"/>
      <c r="AB165" s="12"/>
      <c r="AC165" s="12"/>
      <c r="AD165" s="12"/>
      <c r="AE165" s="12"/>
      <c r="AF165" s="12"/>
      <c r="AG165" s="12"/>
      <c r="AH165" s="12"/>
      <c r="AI165" s="12"/>
    </row>
    <row r="166" spans="1:35" s="10" customFormat="1" x14ac:dyDescent="0.25">
      <c r="A166" s="12"/>
      <c r="B166" s="12"/>
      <c r="C166" s="12"/>
      <c r="D166"/>
      <c r="E166" s="24"/>
      <c r="F166" s="23"/>
      <c r="G166" s="22"/>
      <c r="H166" s="22"/>
      <c r="I166" s="22"/>
      <c r="J166" s="22"/>
      <c r="K166" s="22"/>
      <c r="L166" s="22"/>
      <c r="M166" s="21"/>
      <c r="N166" s="22"/>
      <c r="O166" s="22"/>
      <c r="P166" s="22"/>
      <c r="Q166" s="22"/>
      <c r="R166" s="22"/>
      <c r="S166" s="22"/>
      <c r="T166" s="19"/>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4"/>
      <c r="N167" s="22"/>
      <c r="O167" s="22"/>
      <c r="P167" s="22"/>
      <c r="Q167" s="22"/>
      <c r="R167" s="28"/>
      <c r="S167" s="22"/>
      <c r="T167" s="24"/>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19"/>
      <c r="F168" s="23"/>
      <c r="G168" s="22"/>
      <c r="H168" s="22"/>
      <c r="I168" s="22"/>
      <c r="J168" s="22"/>
      <c r="K168" s="22"/>
      <c r="L168" s="23"/>
      <c r="M168" s="24"/>
      <c r="N168" s="22"/>
      <c r="O168" s="22"/>
      <c r="P168" s="22"/>
      <c r="Q168" s="22"/>
      <c r="R168" s="28"/>
      <c r="S168" s="22"/>
      <c r="T168" s="24"/>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19"/>
      <c r="F169" s="23"/>
      <c r="G169" s="22"/>
      <c r="H169" s="22"/>
      <c r="I169" s="22"/>
      <c r="J169" s="22"/>
      <c r="K169" s="22"/>
      <c r="L169" s="23"/>
      <c r="M169" s="24"/>
      <c r="N169" s="22"/>
      <c r="O169" s="22"/>
      <c r="P169" s="22"/>
      <c r="Q169" s="22"/>
      <c r="R169" s="28"/>
      <c r="S169" s="22"/>
      <c r="T169" s="24"/>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19"/>
      <c r="F170" s="23"/>
      <c r="G170" s="22"/>
      <c r="H170" s="25"/>
      <c r="I170" s="22"/>
      <c r="J170" s="22"/>
      <c r="K170" s="22"/>
      <c r="L170" s="23"/>
      <c r="M170" s="24"/>
      <c r="N170" s="22"/>
      <c r="O170" s="22"/>
      <c r="P170" s="22"/>
      <c r="Q170" s="22"/>
      <c r="R170" s="28"/>
      <c r="S170" s="22"/>
      <c r="T170" s="24"/>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19"/>
      <c r="F171" s="23"/>
      <c r="G171" s="22"/>
      <c r="H171" s="22"/>
      <c r="I171" s="22"/>
      <c r="J171" s="22"/>
      <c r="K171" s="22"/>
      <c r="L171" s="23"/>
      <c r="M171" s="24"/>
      <c r="N171" s="22"/>
      <c r="O171" s="22"/>
      <c r="P171" s="22"/>
      <c r="Q171" s="22"/>
      <c r="R171" s="28"/>
      <c r="S171" s="22"/>
      <c r="T171" s="24"/>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19"/>
      <c r="F172" s="23"/>
      <c r="G172" s="22"/>
      <c r="H172" s="22"/>
      <c r="I172" s="22"/>
      <c r="J172" s="22"/>
      <c r="K172" s="22"/>
      <c r="L172" s="23"/>
      <c r="M172" s="24"/>
      <c r="N172" s="22"/>
      <c r="O172" s="22"/>
      <c r="P172" s="22"/>
      <c r="Q172" s="22"/>
      <c r="R172" s="28"/>
      <c r="S172" s="22"/>
      <c r="T172" s="24"/>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2"/>
      <c r="F173" s="23"/>
      <c r="G173" s="22"/>
      <c r="H173" s="22"/>
      <c r="I173" s="22"/>
      <c r="J173" s="22"/>
      <c r="K173" s="22"/>
      <c r="L173" s="23"/>
      <c r="M173" s="24"/>
      <c r="N173" s="22"/>
      <c r="O173" s="22"/>
      <c r="P173" s="22"/>
      <c r="Q173" s="22"/>
      <c r="R173" s="28"/>
      <c r="S173" s="22"/>
      <c r="T173" s="24"/>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2"/>
      <c r="F174" s="23"/>
      <c r="G174" s="22"/>
      <c r="H174" s="22"/>
      <c r="I174" s="22"/>
      <c r="J174" s="22"/>
      <c r="K174" s="22"/>
      <c r="L174" s="23"/>
      <c r="M174" s="24"/>
      <c r="N174" s="22"/>
      <c r="O174" s="22"/>
      <c r="P174" s="22"/>
      <c r="Q174" s="22"/>
      <c r="R174" s="28"/>
      <c r="S174" s="22"/>
      <c r="T174" s="24"/>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2"/>
      <c r="F175" s="23"/>
      <c r="G175" s="22"/>
      <c r="H175" s="22"/>
      <c r="I175" s="22"/>
      <c r="J175" s="22"/>
      <c r="K175" s="22"/>
      <c r="L175" s="23"/>
      <c r="M175" s="24"/>
      <c r="N175" s="22"/>
      <c r="O175" s="22"/>
      <c r="P175" s="22"/>
      <c r="Q175" s="22"/>
      <c r="R175" s="28"/>
      <c r="S175" s="22"/>
      <c r="T175" s="24"/>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3"/>
      <c r="I176" s="22"/>
      <c r="J176" s="22"/>
      <c r="K176" s="22"/>
      <c r="L176" s="22"/>
      <c r="M176" s="24"/>
      <c r="N176" s="22"/>
      <c r="O176" s="22"/>
      <c r="P176" s="22"/>
      <c r="Q176" s="22"/>
      <c r="R176" s="28"/>
      <c r="S176" s="22"/>
      <c r="T176" s="24"/>
      <c r="U176"/>
      <c r="V176"/>
      <c r="W176"/>
      <c r="X176"/>
      <c r="Y176"/>
      <c r="Z176" s="12"/>
      <c r="AA176" s="12"/>
      <c r="AB176" s="12"/>
      <c r="AC176" s="12"/>
      <c r="AD176" s="12"/>
      <c r="AE176" s="12"/>
      <c r="AF176" s="12"/>
      <c r="AG176" s="12"/>
      <c r="AH176" s="12"/>
      <c r="AI176" s="12"/>
    </row>
    <row r="177" spans="1:35" s="10" customFormat="1" x14ac:dyDescent="0.25">
      <c r="A177" s="12"/>
      <c r="B177" s="12"/>
      <c r="C177" s="12"/>
      <c r="D177"/>
      <c r="E177" s="24"/>
      <c r="F177" s="23"/>
      <c r="G177" s="23"/>
      <c r="H177" s="23"/>
      <c r="I177" s="22"/>
      <c r="J177" s="22"/>
      <c r="K177" s="22"/>
      <c r="L177" s="22"/>
      <c r="M177" s="24"/>
      <c r="N177" s="22"/>
      <c r="O177" s="22"/>
      <c r="P177" s="22"/>
      <c r="Q177" s="23"/>
      <c r="R177" s="23"/>
      <c r="S177" s="22"/>
      <c r="T177" s="24"/>
      <c r="U177"/>
      <c r="V177"/>
      <c r="W177"/>
      <c r="X177"/>
      <c r="Y177"/>
      <c r="Z177" s="12"/>
      <c r="AA177" s="12"/>
      <c r="AB177" s="12"/>
      <c r="AC177" s="12"/>
      <c r="AD177" s="12"/>
      <c r="AE177" s="12"/>
      <c r="AF177" s="12"/>
      <c r="AG177" s="12"/>
      <c r="AH177" s="12"/>
      <c r="AI177" s="12"/>
    </row>
    <row r="178" spans="1:35" s="10" customFormat="1" x14ac:dyDescent="0.25">
      <c r="A178" s="12"/>
      <c r="B178" s="12"/>
      <c r="C178" s="12"/>
      <c r="D178"/>
      <c r="E178" s="24"/>
      <c r="F178" s="23"/>
      <c r="G178" s="23"/>
      <c r="H178" s="23"/>
      <c r="I178" s="22"/>
      <c r="J178" s="22"/>
      <c r="K178" s="22"/>
      <c r="L178" s="22"/>
      <c r="M178" s="24"/>
      <c r="N178" s="22"/>
      <c r="O178" s="22"/>
      <c r="P178" s="22"/>
      <c r="Q178" s="23"/>
      <c r="R178" s="23"/>
      <c r="S178" s="22"/>
      <c r="T178" s="24"/>
      <c r="U178"/>
      <c r="V178"/>
      <c r="W178"/>
      <c r="X178"/>
      <c r="Y178"/>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4"/>
      <c r="N179" s="22"/>
      <c r="O179" s="22"/>
      <c r="P179" s="22"/>
      <c r="Q179" s="23"/>
      <c r="R179" s="23"/>
      <c r="S179" s="22"/>
      <c r="T179" s="24"/>
      <c r="U179"/>
      <c r="V179"/>
      <c r="W179"/>
      <c r="X179"/>
      <c r="Y179"/>
      <c r="Z179" s="12"/>
      <c r="AA179" s="12"/>
      <c r="AB179" s="12"/>
      <c r="AC179" s="12"/>
      <c r="AD179" s="12"/>
      <c r="AE179" s="12"/>
      <c r="AF179" s="12"/>
      <c r="AG179" s="12"/>
      <c r="AH179" s="12"/>
      <c r="AI179" s="12"/>
    </row>
    <row r="180" spans="1:35" s="10" customFormat="1" x14ac:dyDescent="0.25">
      <c r="A180" s="12"/>
      <c r="B180" s="12"/>
      <c r="C180" s="12"/>
      <c r="D180"/>
      <c r="E180" s="24"/>
      <c r="F180" s="23"/>
      <c r="G180" s="23"/>
      <c r="H180" s="26"/>
      <c r="I180" s="22"/>
      <c r="J180" s="22"/>
      <c r="K180" s="22"/>
      <c r="L180" s="22"/>
      <c r="M180" s="24"/>
      <c r="N180" s="22"/>
      <c r="O180" s="22"/>
      <c r="P180" s="22"/>
      <c r="Q180" s="23"/>
      <c r="R180" s="23"/>
      <c r="S180" s="22"/>
      <c r="T180" s="24"/>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4"/>
      <c r="F181" s="23"/>
      <c r="G181" s="23"/>
      <c r="H181" s="26"/>
      <c r="I181" s="22"/>
      <c r="J181" s="22"/>
      <c r="K181" s="22"/>
      <c r="L181" s="22"/>
      <c r="M181" s="24"/>
      <c r="N181" s="22"/>
      <c r="O181" s="22"/>
      <c r="P181" s="22"/>
      <c r="Q181" s="23"/>
      <c r="R181" s="23"/>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24"/>
      <c r="F182" s="23"/>
      <c r="G182" s="23"/>
      <c r="H182" s="26"/>
      <c r="I182" s="22"/>
      <c r="J182" s="22"/>
      <c r="K182" s="22"/>
      <c r="L182" s="22"/>
      <c r="M182" s="24"/>
      <c r="N182" s="22"/>
      <c r="O182" s="22"/>
      <c r="P182" s="22"/>
      <c r="Q182" s="23"/>
      <c r="R182" s="23"/>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24"/>
      <c r="F183" s="23"/>
      <c r="G183" s="23"/>
      <c r="H183" s="26"/>
      <c r="I183" s="22"/>
      <c r="J183" s="22"/>
      <c r="K183" s="22"/>
      <c r="L183" s="22"/>
      <c r="M183" s="24"/>
      <c r="N183" s="22"/>
      <c r="O183" s="22"/>
      <c r="P183" s="22"/>
      <c r="Q183" s="23"/>
      <c r="R183" s="23"/>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24"/>
      <c r="F184" s="23"/>
      <c r="G184" s="23"/>
      <c r="H184" s="26"/>
      <c r="I184" s="22"/>
      <c r="J184" s="22"/>
      <c r="K184" s="22"/>
      <c r="L184" s="22"/>
      <c r="M184" s="24"/>
      <c r="N184" s="22"/>
      <c r="O184" s="22"/>
      <c r="P184" s="22"/>
      <c r="Q184" s="23"/>
      <c r="R184" s="23"/>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24"/>
      <c r="F185" s="23"/>
      <c r="G185" s="23"/>
      <c r="H185" s="26"/>
      <c r="I185" s="22"/>
      <c r="J185" s="22"/>
      <c r="K185" s="22"/>
      <c r="L185" s="22"/>
      <c r="M185" s="24"/>
      <c r="N185" s="22"/>
      <c r="O185" s="22"/>
      <c r="P185" s="22"/>
      <c r="Q185" s="23"/>
      <c r="R185" s="23"/>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24"/>
      <c r="F186" s="23"/>
      <c r="G186" s="23"/>
      <c r="H186" s="26"/>
      <c r="I186" s="22"/>
      <c r="J186" s="22"/>
      <c r="K186" s="22"/>
      <c r="L186" s="22"/>
      <c r="M186" s="21"/>
      <c r="N186" s="22"/>
      <c r="O186" s="22"/>
      <c r="P186" s="22"/>
      <c r="Q186" s="22"/>
      <c r="R186" s="28"/>
      <c r="S186" s="22"/>
      <c r="T186" s="20"/>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4"/>
      <c r="F187" s="23"/>
      <c r="G187" s="22"/>
      <c r="H187" s="22"/>
      <c r="I187" s="22"/>
      <c r="J187" s="22"/>
      <c r="K187" s="22"/>
      <c r="L187" s="22"/>
      <c r="M187" s="21"/>
      <c r="N187" s="22"/>
      <c r="O187" s="22"/>
      <c r="P187" s="22"/>
      <c r="Q187" s="22"/>
      <c r="R187" s="22"/>
      <c r="S187" s="22"/>
      <c r="T187" s="19"/>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24"/>
      <c r="F188" s="23"/>
      <c r="G188" s="23"/>
      <c r="H188" s="26"/>
      <c r="I188" s="22"/>
      <c r="J188" s="22"/>
      <c r="K188" s="22"/>
      <c r="L188" s="22"/>
      <c r="M188" s="24"/>
      <c r="N188" s="22"/>
      <c r="O188" s="22"/>
      <c r="P188" s="22"/>
      <c r="Q188" s="22"/>
      <c r="R188" s="28"/>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19"/>
      <c r="F189" s="23"/>
      <c r="G189" s="22"/>
      <c r="H189" s="22"/>
      <c r="I189" s="22"/>
      <c r="J189" s="22"/>
      <c r="K189" s="22"/>
      <c r="L189" s="23"/>
      <c r="M189" s="24"/>
      <c r="N189" s="22"/>
      <c r="O189" s="22"/>
      <c r="P189" s="22"/>
      <c r="Q189" s="22"/>
      <c r="R189" s="28"/>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19"/>
      <c r="F190" s="23"/>
      <c r="G190" s="22"/>
      <c r="H190" s="22"/>
      <c r="I190" s="22"/>
      <c r="J190" s="22"/>
      <c r="K190" s="22"/>
      <c r="L190" s="23"/>
      <c r="M190" s="24"/>
      <c r="N190" s="22"/>
      <c r="O190" s="22"/>
      <c r="P190" s="22"/>
      <c r="Q190" s="22"/>
      <c r="R190" s="28"/>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19"/>
      <c r="F191" s="23"/>
      <c r="G191" s="22"/>
      <c r="H191" s="25"/>
      <c r="I191" s="22"/>
      <c r="J191" s="22"/>
      <c r="K191" s="22"/>
      <c r="L191" s="23"/>
      <c r="M191" s="24"/>
      <c r="N191" s="22"/>
      <c r="O191" s="22"/>
      <c r="P191" s="22"/>
      <c r="Q191" s="22"/>
      <c r="R191" s="28"/>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19"/>
      <c r="F192" s="23"/>
      <c r="G192" s="22"/>
      <c r="H192" s="22"/>
      <c r="I192" s="22"/>
      <c r="J192" s="22"/>
      <c r="K192" s="22"/>
      <c r="L192" s="23"/>
      <c r="M192" s="24"/>
      <c r="N192" s="22"/>
      <c r="O192" s="22"/>
      <c r="P192" s="22"/>
      <c r="Q192" s="22"/>
      <c r="R192" s="28"/>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19"/>
      <c r="F193" s="23"/>
      <c r="G193" s="22"/>
      <c r="H193" s="22"/>
      <c r="I193" s="22"/>
      <c r="J193" s="22"/>
      <c r="K193" s="22"/>
      <c r="L193" s="23"/>
      <c r="M193" s="24"/>
      <c r="N193" s="22"/>
      <c r="O193" s="22"/>
      <c r="P193" s="22"/>
      <c r="Q193" s="22"/>
      <c r="R193" s="28"/>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2"/>
      <c r="F194" s="23"/>
      <c r="G194" s="22"/>
      <c r="H194" s="22"/>
      <c r="I194" s="22"/>
      <c r="J194" s="22"/>
      <c r="K194" s="22"/>
      <c r="L194" s="23"/>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2"/>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2"/>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3"/>
      <c r="I197" s="22"/>
      <c r="J197" s="22"/>
      <c r="K197" s="22"/>
      <c r="L197" s="22"/>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3"/>
      <c r="H198" s="23"/>
      <c r="I198" s="22"/>
      <c r="J198" s="22"/>
      <c r="K198" s="22"/>
      <c r="L198" s="22"/>
      <c r="M198" s="24"/>
      <c r="N198" s="22"/>
      <c r="O198" s="22"/>
      <c r="P198" s="22"/>
      <c r="Q198" s="23"/>
      <c r="R198" s="23"/>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3"/>
      <c r="I199" s="22"/>
      <c r="J199" s="22"/>
      <c r="K199" s="22"/>
      <c r="L199" s="22"/>
      <c r="M199" s="24"/>
      <c r="N199" s="22"/>
      <c r="O199" s="22"/>
      <c r="P199" s="22"/>
      <c r="Q199" s="23"/>
      <c r="R199" s="23"/>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4"/>
      <c r="F200" s="23"/>
      <c r="G200" s="23"/>
      <c r="H200" s="26"/>
      <c r="I200" s="22"/>
      <c r="J200" s="22"/>
      <c r="K200" s="22"/>
      <c r="L200" s="22"/>
      <c r="M200" s="24"/>
      <c r="N200" s="22"/>
      <c r="O200" s="22"/>
      <c r="P200" s="22"/>
      <c r="Q200" s="23"/>
      <c r="R200" s="23"/>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4"/>
      <c r="F201" s="23"/>
      <c r="G201" s="23"/>
      <c r="H201" s="26"/>
      <c r="I201" s="22"/>
      <c r="J201" s="22"/>
      <c r="K201" s="22"/>
      <c r="L201" s="22"/>
      <c r="M201" s="24"/>
      <c r="N201" s="22"/>
      <c r="O201" s="22"/>
      <c r="P201" s="22"/>
      <c r="Q201" s="23"/>
      <c r="R201" s="23"/>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4"/>
      <c r="F202" s="23"/>
      <c r="G202" s="23"/>
      <c r="H202" s="26"/>
      <c r="I202" s="22"/>
      <c r="J202" s="22"/>
      <c r="K202" s="22"/>
      <c r="L202" s="22"/>
      <c r="M202" s="24"/>
      <c r="N202" s="22"/>
      <c r="O202" s="22"/>
      <c r="P202" s="22"/>
      <c r="Q202" s="23"/>
      <c r="R202" s="23"/>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6"/>
      <c r="I203" s="22"/>
      <c r="J203" s="22"/>
      <c r="K203" s="22"/>
      <c r="L203" s="22"/>
      <c r="M203" s="24"/>
      <c r="N203" s="22"/>
      <c r="O203" s="22"/>
      <c r="P203" s="22"/>
      <c r="Q203" s="23"/>
      <c r="R203" s="23"/>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6"/>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6"/>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1"/>
      <c r="N207" s="22"/>
      <c r="O207" s="22"/>
      <c r="P207" s="22"/>
      <c r="Q207" s="22"/>
      <c r="R207" s="28"/>
      <c r="S207" s="22"/>
      <c r="T207" s="20"/>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2"/>
      <c r="H208" s="22"/>
      <c r="I208" s="22"/>
      <c r="J208" s="22"/>
      <c r="K208" s="22"/>
      <c r="L208" s="22"/>
      <c r="M208" s="21"/>
      <c r="N208" s="22"/>
      <c r="O208" s="22"/>
      <c r="P208" s="22"/>
      <c r="Q208" s="22"/>
      <c r="R208" s="22"/>
      <c r="S208" s="22"/>
      <c r="T208" s="19"/>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2"/>
      <c r="R209" s="28"/>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19"/>
      <c r="F210" s="23"/>
      <c r="G210" s="22"/>
      <c r="H210" s="22"/>
      <c r="I210" s="22"/>
      <c r="J210" s="22"/>
      <c r="K210" s="22"/>
      <c r="L210" s="23"/>
      <c r="M210" s="24"/>
      <c r="N210" s="22"/>
      <c r="O210" s="22"/>
      <c r="P210" s="22"/>
      <c r="Q210" s="22"/>
      <c r="R210" s="28"/>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19"/>
      <c r="F211" s="23"/>
      <c r="G211" s="22"/>
      <c r="H211" s="22"/>
      <c r="I211" s="22"/>
      <c r="J211" s="22"/>
      <c r="K211" s="22"/>
      <c r="L211" s="23"/>
      <c r="M211" s="24"/>
      <c r="N211" s="22"/>
      <c r="O211" s="22"/>
      <c r="P211" s="22"/>
      <c r="Q211" s="22"/>
      <c r="R211" s="28"/>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19"/>
      <c r="F212" s="23"/>
      <c r="G212" s="22"/>
      <c r="H212" s="25"/>
      <c r="I212" s="22"/>
      <c r="J212" s="22"/>
      <c r="K212" s="22"/>
      <c r="L212" s="23"/>
      <c r="M212" s="24"/>
      <c r="N212" s="22"/>
      <c r="O212" s="22"/>
      <c r="P212" s="22"/>
      <c r="Q212" s="22"/>
      <c r="R212" s="28"/>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19"/>
      <c r="F213" s="23"/>
      <c r="G213" s="22"/>
      <c r="H213" s="22"/>
      <c r="I213" s="22"/>
      <c r="J213" s="22"/>
      <c r="K213" s="22"/>
      <c r="L213" s="23"/>
      <c r="M213" s="24"/>
      <c r="N213" s="22"/>
      <c r="O213" s="22"/>
      <c r="P213" s="22"/>
      <c r="Q213" s="22"/>
      <c r="R213" s="28"/>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19"/>
      <c r="F214" s="23"/>
      <c r="G214" s="22"/>
      <c r="H214" s="22"/>
      <c r="I214" s="22"/>
      <c r="J214" s="22"/>
      <c r="K214" s="22"/>
      <c r="L214" s="23"/>
      <c r="M214" s="24"/>
      <c r="N214" s="22"/>
      <c r="O214" s="22"/>
      <c r="P214" s="22"/>
      <c r="Q214" s="22"/>
      <c r="R214" s="28"/>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2"/>
      <c r="F215" s="23"/>
      <c r="G215" s="22"/>
      <c r="H215" s="22"/>
      <c r="I215" s="22"/>
      <c r="J215" s="22"/>
      <c r="K215" s="22"/>
      <c r="L215" s="23"/>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2"/>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2"/>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3"/>
      <c r="I218" s="22"/>
      <c r="J218" s="22"/>
      <c r="K218" s="22"/>
      <c r="L218" s="22"/>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3"/>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3"/>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3"/>
      <c r="H221" s="26"/>
      <c r="I221" s="22"/>
      <c r="J221" s="22"/>
      <c r="K221" s="22"/>
      <c r="L221" s="22"/>
      <c r="M221" s="24"/>
      <c r="N221" s="22"/>
      <c r="O221" s="22"/>
      <c r="P221" s="22"/>
      <c r="Q221" s="23"/>
      <c r="R221" s="23"/>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3"/>
      <c r="H222" s="26"/>
      <c r="I222" s="22"/>
      <c r="J222" s="22"/>
      <c r="K222" s="22"/>
      <c r="L222" s="22"/>
      <c r="M222" s="24"/>
      <c r="N222" s="22"/>
      <c r="O222" s="22"/>
      <c r="P222" s="22"/>
      <c r="Q222" s="23"/>
      <c r="R222" s="23"/>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4"/>
      <c r="F223" s="23"/>
      <c r="G223" s="23"/>
      <c r="H223" s="26"/>
      <c r="I223" s="22"/>
      <c r="J223" s="22"/>
      <c r="K223" s="22"/>
      <c r="L223" s="22"/>
      <c r="M223" s="24"/>
      <c r="N223" s="22"/>
      <c r="O223" s="22"/>
      <c r="P223" s="22"/>
      <c r="Q223" s="23"/>
      <c r="R223" s="23"/>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6"/>
      <c r="I224" s="22"/>
      <c r="J224" s="22"/>
      <c r="K224" s="22"/>
      <c r="L224" s="22"/>
      <c r="M224" s="24"/>
      <c r="N224" s="22"/>
      <c r="O224" s="22"/>
      <c r="P224" s="22"/>
      <c r="Q224" s="23"/>
      <c r="R224" s="23"/>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6"/>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6"/>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1"/>
      <c r="N228" s="22"/>
      <c r="O228" s="22"/>
      <c r="P228" s="22"/>
      <c r="Q228" s="22"/>
      <c r="R228" s="28"/>
      <c r="S228" s="22"/>
      <c r="T228" s="20"/>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2"/>
      <c r="H229" s="22"/>
      <c r="I229" s="22"/>
      <c r="J229" s="22"/>
      <c r="K229" s="22"/>
      <c r="L229" s="22"/>
      <c r="M229" s="21"/>
      <c r="N229" s="22"/>
      <c r="O229" s="22"/>
      <c r="P229" s="22"/>
      <c r="Q229" s="22"/>
      <c r="R229" s="22"/>
      <c r="S229" s="22"/>
      <c r="T229" s="19"/>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2"/>
      <c r="R230" s="28"/>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19"/>
      <c r="F231" s="23"/>
      <c r="G231" s="22"/>
      <c r="H231" s="22"/>
      <c r="I231" s="22"/>
      <c r="J231" s="22"/>
      <c r="K231" s="22"/>
      <c r="L231" s="23"/>
      <c r="M231" s="24"/>
      <c r="N231" s="22"/>
      <c r="O231" s="22"/>
      <c r="P231" s="22"/>
      <c r="Q231" s="22"/>
      <c r="R231" s="28"/>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19"/>
      <c r="F232" s="23"/>
      <c r="G232" s="22"/>
      <c r="H232" s="22"/>
      <c r="I232" s="22"/>
      <c r="J232" s="22"/>
      <c r="K232" s="22"/>
      <c r="L232" s="23"/>
      <c r="M232" s="24"/>
      <c r="N232" s="22"/>
      <c r="O232" s="22"/>
      <c r="P232" s="22"/>
      <c r="Q232" s="22"/>
      <c r="R232" s="28"/>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19"/>
      <c r="F233" s="23"/>
      <c r="G233" s="22"/>
      <c r="H233" s="25"/>
      <c r="I233" s="22"/>
      <c r="J233" s="22"/>
      <c r="K233" s="22"/>
      <c r="L233" s="23"/>
      <c r="M233" s="24"/>
      <c r="N233" s="22"/>
      <c r="O233" s="22"/>
      <c r="P233" s="22"/>
      <c r="Q233" s="22"/>
      <c r="R233" s="28"/>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19"/>
      <c r="F234" s="23"/>
      <c r="G234" s="22"/>
      <c r="H234" s="22"/>
      <c r="I234" s="22"/>
      <c r="J234" s="22"/>
      <c r="K234" s="22"/>
      <c r="L234" s="23"/>
      <c r="M234" s="24"/>
      <c r="N234" s="22"/>
      <c r="O234" s="22"/>
      <c r="P234" s="22"/>
      <c r="Q234" s="22"/>
      <c r="R234" s="28"/>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19"/>
      <c r="F235" s="23"/>
      <c r="G235" s="22"/>
      <c r="H235" s="22"/>
      <c r="I235" s="22"/>
      <c r="J235" s="22"/>
      <c r="K235" s="22"/>
      <c r="L235" s="23"/>
      <c r="M235" s="24"/>
      <c r="N235" s="22"/>
      <c r="O235" s="22"/>
      <c r="P235" s="22"/>
      <c r="Q235" s="22"/>
      <c r="R235" s="28"/>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2"/>
      <c r="F236" s="23"/>
      <c r="G236" s="22"/>
      <c r="H236" s="22"/>
      <c r="I236" s="22"/>
      <c r="J236" s="22"/>
      <c r="K236" s="22"/>
      <c r="L236" s="23"/>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2"/>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2"/>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3"/>
      <c r="I239" s="22"/>
      <c r="J239" s="22"/>
      <c r="K239" s="22"/>
      <c r="L239" s="22"/>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3"/>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3"/>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4"/>
      <c r="F242" s="23"/>
      <c r="G242" s="23"/>
      <c r="H242" s="26"/>
      <c r="I242" s="22"/>
      <c r="J242" s="22"/>
      <c r="K242" s="22"/>
      <c r="L242" s="22"/>
      <c r="M242" s="24"/>
      <c r="N242" s="22"/>
      <c r="O242" s="22"/>
      <c r="P242" s="22"/>
      <c r="Q242" s="23"/>
      <c r="R242" s="23"/>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4"/>
      <c r="F243" s="23"/>
      <c r="G243" s="23"/>
      <c r="H243" s="26"/>
      <c r="I243" s="22"/>
      <c r="J243" s="22"/>
      <c r="K243" s="22"/>
      <c r="L243" s="22"/>
      <c r="M243" s="24"/>
      <c r="N243" s="22"/>
      <c r="O243" s="22"/>
      <c r="P243" s="22"/>
      <c r="Q243" s="23"/>
      <c r="R243" s="23"/>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4"/>
      <c r="F244" s="23"/>
      <c r="G244" s="23"/>
      <c r="H244" s="26"/>
      <c r="I244" s="22"/>
      <c r="J244" s="22"/>
      <c r="K244" s="22"/>
      <c r="L244" s="22"/>
      <c r="M244" s="24"/>
      <c r="N244" s="22"/>
      <c r="O244" s="22"/>
      <c r="P244" s="22"/>
      <c r="Q244" s="23"/>
      <c r="R244" s="23"/>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6"/>
      <c r="I245" s="22"/>
      <c r="J245" s="22"/>
      <c r="K245" s="22"/>
      <c r="L245" s="22"/>
      <c r="M245" s="24"/>
      <c r="N245" s="22"/>
      <c r="O245" s="22"/>
      <c r="P245" s="22"/>
      <c r="Q245" s="23"/>
      <c r="R245" s="23"/>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6"/>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6"/>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1"/>
      <c r="N249" s="22"/>
      <c r="O249" s="22"/>
      <c r="P249" s="22"/>
      <c r="Q249" s="22"/>
      <c r="R249" s="28"/>
      <c r="S249" s="22"/>
      <c r="T249" s="20"/>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c r="F250"/>
      <c r="G250"/>
      <c r="H250"/>
      <c r="I250"/>
      <c r="J250"/>
      <c r="K250"/>
      <c r="L250"/>
      <c r="M250"/>
      <c r="N250"/>
      <c r="O250"/>
      <c r="P250"/>
      <c r="Q250"/>
      <c r="R250"/>
      <c r="S250"/>
      <c r="T250"/>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c r="F251"/>
      <c r="G251"/>
      <c r="H251"/>
      <c r="I251"/>
      <c r="J251"/>
      <c r="K251"/>
      <c r="L251"/>
      <c r="M251"/>
      <c r="N251"/>
      <c r="O251"/>
      <c r="P251"/>
      <c r="Q251"/>
      <c r="R251"/>
      <c r="S251"/>
      <c r="T251"/>
      <c r="U251"/>
      <c r="V251"/>
      <c r="W251"/>
      <c r="X251"/>
      <c r="Y251" s="12"/>
      <c r="Z251" s="12"/>
      <c r="AA251" s="12"/>
      <c r="AB251" s="12"/>
      <c r="AC251" s="12"/>
      <c r="AD251" s="12"/>
      <c r="AE251" s="12"/>
      <c r="AF251" s="12"/>
      <c r="AG251" s="12"/>
      <c r="AH251" s="12"/>
      <c r="AI251" s="12"/>
    </row>
    <row r="252" spans="1:35" s="10" customFormat="1" x14ac:dyDescent="0.25">
      <c r="A252" s="12"/>
      <c r="B252" s="12"/>
      <c r="C252" s="12"/>
      <c r="D252"/>
      <c r="E252"/>
      <c r="F252"/>
      <c r="G252"/>
      <c r="H252"/>
      <c r="I252"/>
      <c r="J252"/>
      <c r="K252"/>
      <c r="L252"/>
      <c r="M252"/>
      <c r="N252"/>
      <c r="O252"/>
      <c r="P252"/>
      <c r="Q252"/>
      <c r="R252"/>
      <c r="S252"/>
      <c r="T252"/>
      <c r="U252"/>
      <c r="V252"/>
      <c r="W252"/>
      <c r="X252"/>
      <c r="Y252" s="12"/>
      <c r="Z252" s="12"/>
      <c r="AA252" s="12"/>
      <c r="AB252" s="12"/>
      <c r="AC252" s="12"/>
      <c r="AD252" s="12"/>
      <c r="AE252" s="12"/>
      <c r="AF252" s="12"/>
      <c r="AG252" s="12"/>
      <c r="AH252" s="12"/>
      <c r="AI252" s="12"/>
    </row>
    <row r="253" spans="1:35" s="10" customFormat="1" x14ac:dyDescent="0.25">
      <c r="A253" s="12"/>
      <c r="B253" s="12"/>
      <c r="C253" s="12"/>
      <c r="D253"/>
      <c r="E253"/>
      <c r="F253"/>
      <c r="G253"/>
      <c r="H253"/>
      <c r="I253"/>
      <c r="J253"/>
      <c r="K253"/>
      <c r="L253"/>
      <c r="M253"/>
      <c r="N253"/>
      <c r="O253"/>
      <c r="P253"/>
      <c r="Q253"/>
      <c r="R253"/>
      <c r="S253"/>
      <c r="T253"/>
      <c r="U253"/>
      <c r="V253"/>
      <c r="W253"/>
      <c r="X253"/>
      <c r="Y253" s="12"/>
      <c r="Z253" s="12"/>
      <c r="AA253" s="12"/>
      <c r="AB253" s="12"/>
      <c r="AC253" s="12"/>
      <c r="AD253" s="12"/>
      <c r="AE253" s="12"/>
      <c r="AF253" s="12"/>
      <c r="AG253" s="12"/>
      <c r="AH253" s="12"/>
      <c r="AI253" s="12"/>
    </row>
    <row r="254" spans="1:35" s="10" customFormat="1" x14ac:dyDescent="0.25">
      <c r="A254" s="12"/>
      <c r="B254" s="12"/>
      <c r="C254" s="12"/>
      <c r="D254"/>
      <c r="E254"/>
      <c r="F254"/>
      <c r="G254"/>
      <c r="H254"/>
      <c r="I254"/>
      <c r="J254"/>
      <c r="K254"/>
      <c r="L254"/>
      <c r="M254"/>
      <c r="N254"/>
      <c r="O254"/>
      <c r="P254"/>
      <c r="Q254"/>
      <c r="R254"/>
      <c r="S254"/>
      <c r="T254"/>
      <c r="U254"/>
      <c r="V254"/>
      <c r="W254"/>
      <c r="X254"/>
      <c r="Y254" s="12"/>
      <c r="Z254" s="12"/>
      <c r="AA254" s="12"/>
      <c r="AB254" s="12"/>
      <c r="AC254" s="12"/>
      <c r="AD254" s="12"/>
      <c r="AE254" s="12"/>
      <c r="AF254" s="12"/>
      <c r="AG254" s="12"/>
      <c r="AH254" s="12"/>
      <c r="AI254" s="12"/>
    </row>
    <row r="255" spans="1:35" s="10" customFormat="1" x14ac:dyDescent="0.25">
      <c r="A255" s="12"/>
      <c r="B255" s="12"/>
      <c r="C255" s="12"/>
      <c r="D255"/>
      <c r="E255"/>
      <c r="F255"/>
      <c r="G255"/>
      <c r="H255"/>
      <c r="I255"/>
      <c r="J255"/>
      <c r="K255"/>
      <c r="L255"/>
      <c r="M255"/>
      <c r="N255"/>
      <c r="O255"/>
      <c r="P255"/>
      <c r="Q255"/>
      <c r="R255"/>
      <c r="S255"/>
      <c r="T255"/>
      <c r="U255"/>
      <c r="V255"/>
      <c r="W255"/>
      <c r="X255"/>
      <c r="Y255" s="12"/>
      <c r="Z255" s="12"/>
      <c r="AA255" s="12"/>
      <c r="AB255" s="12"/>
      <c r="AC255" s="12"/>
      <c r="AD255" s="12"/>
      <c r="AE255" s="12"/>
      <c r="AF255" s="12"/>
      <c r="AG255" s="12"/>
      <c r="AH255" s="12"/>
      <c r="AI255" s="12"/>
    </row>
    <row r="256" spans="1:35" s="10" customFormat="1" x14ac:dyDescent="0.25">
      <c r="A256" s="12"/>
      <c r="B256" s="12"/>
      <c r="C256" s="12"/>
      <c r="D256"/>
      <c r="E256"/>
      <c r="F256"/>
      <c r="G256"/>
      <c r="H256"/>
      <c r="I256"/>
      <c r="J256"/>
      <c r="K256"/>
      <c r="L256"/>
      <c r="M256"/>
      <c r="N256"/>
      <c r="O256"/>
      <c r="P256"/>
      <c r="Q256"/>
      <c r="R256"/>
      <c r="S256"/>
      <c r="T256"/>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c r="F257"/>
      <c r="G257"/>
      <c r="H257"/>
      <c r="I257"/>
      <c r="J257"/>
      <c r="K257"/>
      <c r="L257"/>
      <c r="M257"/>
      <c r="N257"/>
      <c r="O257"/>
      <c r="P257"/>
      <c r="Q257"/>
      <c r="R257"/>
      <c r="S257"/>
      <c r="T257"/>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c r="F258"/>
      <c r="G258"/>
      <c r="H258"/>
      <c r="I258"/>
      <c r="J258"/>
      <c r="K258"/>
      <c r="L258"/>
      <c r="M258"/>
      <c r="N258"/>
      <c r="O258"/>
      <c r="P258"/>
      <c r="Q258"/>
      <c r="R258"/>
      <c r="S258"/>
      <c r="T258"/>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c r="F259"/>
      <c r="G259"/>
      <c r="H259"/>
      <c r="I259"/>
      <c r="J259"/>
      <c r="K259"/>
      <c r="L259"/>
      <c r="M259"/>
      <c r="N259"/>
      <c r="O259"/>
      <c r="P259"/>
      <c r="Q259"/>
      <c r="R259"/>
      <c r="S259"/>
      <c r="T259"/>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c r="F260"/>
      <c r="G260"/>
      <c r="H260"/>
      <c r="I260"/>
      <c r="J260"/>
      <c r="K260"/>
      <c r="L260"/>
      <c r="M260"/>
      <c r="N260"/>
      <c r="O260"/>
      <c r="P260"/>
      <c r="Q260"/>
      <c r="R260"/>
      <c r="S260"/>
      <c r="T260"/>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c r="F261"/>
      <c r="G261"/>
      <c r="H261"/>
      <c r="I261"/>
      <c r="J261"/>
      <c r="K261"/>
      <c r="L261"/>
      <c r="M261"/>
      <c r="N261"/>
      <c r="O261"/>
      <c r="P261"/>
      <c r="Q261"/>
      <c r="R261"/>
      <c r="S261"/>
      <c r="T261"/>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c r="F262"/>
      <c r="G262"/>
      <c r="H262"/>
      <c r="I262"/>
      <c r="J262"/>
      <c r="K262"/>
      <c r="L262"/>
      <c r="M262"/>
      <c r="N262"/>
      <c r="O262"/>
      <c r="P262"/>
      <c r="Q262"/>
      <c r="R262"/>
      <c r="S262"/>
      <c r="T262"/>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c r="F263"/>
      <c r="G263"/>
      <c r="H263"/>
      <c r="I263"/>
      <c r="J263"/>
      <c r="K263"/>
      <c r="L263"/>
      <c r="M263"/>
      <c r="N263"/>
      <c r="O263"/>
      <c r="P263"/>
      <c r="Q263"/>
      <c r="R263"/>
      <c r="S263"/>
      <c r="T263"/>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s="3"/>
      <c r="H383" s="3"/>
      <c r="I383" s="3"/>
      <c r="J383" s="3"/>
      <c r="K383"/>
      <c r="L383"/>
      <c r="M383"/>
      <c r="N383" s="3"/>
      <c r="O383" s="3"/>
      <c r="P383" s="3"/>
      <c r="Q383" s="3"/>
      <c r="R383" s="3"/>
      <c r="S383"/>
      <c r="T383"/>
      <c r="U383"/>
      <c r="V383"/>
      <c r="W383" s="12"/>
      <c r="X383" s="12"/>
      <c r="Y383" s="12"/>
      <c r="Z383" s="12"/>
      <c r="AA383" s="12"/>
      <c r="AB383" s="12"/>
      <c r="AC383" s="12"/>
      <c r="AD383" s="12"/>
      <c r="AE383" s="12"/>
      <c r="AF383" s="12"/>
      <c r="AG383" s="12"/>
      <c r="AH383" s="12"/>
      <c r="AI383" s="12"/>
    </row>
    <row r="384" spans="1:35" s="10" customFormat="1" x14ac:dyDescent="0.25">
      <c r="A384" s="12"/>
      <c r="B384" s="12"/>
      <c r="C384" s="12"/>
      <c r="D384"/>
      <c r="E384"/>
      <c r="F384"/>
      <c r="G384" s="3"/>
      <c r="H384" s="3"/>
      <c r="I384" s="3"/>
      <c r="J384" s="3"/>
      <c r="K384"/>
      <c r="L384"/>
      <c r="M384"/>
      <c r="N384" s="3"/>
      <c r="O384" s="3"/>
      <c r="P384" s="3"/>
      <c r="Q384" s="3"/>
      <c r="R384" s="3"/>
      <c r="S384"/>
      <c r="T384"/>
      <c r="U384"/>
      <c r="V384"/>
      <c r="W384" s="12"/>
      <c r="X384" s="12"/>
      <c r="Y384" s="12"/>
      <c r="Z384" s="12"/>
      <c r="AA384" s="12"/>
      <c r="AB384" s="12"/>
      <c r="AC384" s="12"/>
      <c r="AD384" s="12"/>
      <c r="AE384" s="12"/>
      <c r="AF384" s="12"/>
      <c r="AG384" s="12"/>
      <c r="AH384" s="12"/>
      <c r="AI384" s="12"/>
    </row>
    <row r="385" spans="1:35" s="10" customFormat="1" x14ac:dyDescent="0.25">
      <c r="A385" s="12"/>
      <c r="B385" s="12"/>
      <c r="C385" s="12"/>
      <c r="D385"/>
      <c r="E385"/>
      <c r="F385"/>
      <c r="G385" s="3"/>
      <c r="H385" s="3"/>
      <c r="I385" s="3"/>
      <c r="J385" s="3"/>
      <c r="K385"/>
      <c r="L385"/>
      <c r="M385"/>
      <c r="N385" s="3"/>
      <c r="O385" s="3"/>
      <c r="P385" s="3"/>
      <c r="Q385" s="3"/>
      <c r="R385" s="3"/>
      <c r="S385"/>
      <c r="T385"/>
      <c r="U385"/>
      <c r="V385"/>
      <c r="W385" s="12"/>
      <c r="X385" s="12"/>
      <c r="Y385" s="12"/>
      <c r="Z385" s="12"/>
      <c r="AA385" s="12"/>
      <c r="AB385" s="12"/>
      <c r="AC385" s="12"/>
      <c r="AD385" s="12"/>
      <c r="AE385" s="12"/>
      <c r="AF385" s="12"/>
      <c r="AG385" s="12"/>
      <c r="AH385" s="12"/>
      <c r="AI385" s="12"/>
    </row>
    <row r="386" spans="1:35" s="10" customFormat="1" x14ac:dyDescent="0.25">
      <c r="A386" s="12"/>
      <c r="B386" s="12"/>
      <c r="C386" s="12"/>
      <c r="D386"/>
      <c r="E386"/>
      <c r="F386"/>
      <c r="G386" s="3"/>
      <c r="H386" s="3"/>
      <c r="I386" s="3"/>
      <c r="J386" s="3"/>
      <c r="K386"/>
      <c r="L386"/>
      <c r="M386"/>
      <c r="N386" s="3"/>
      <c r="O386" s="3"/>
      <c r="P386" s="3"/>
      <c r="Q386" s="3"/>
      <c r="R386" s="3"/>
      <c r="S386"/>
      <c r="T386"/>
      <c r="U386"/>
      <c r="V386"/>
      <c r="W386" s="12"/>
      <c r="X386" s="12"/>
      <c r="Y386" s="12"/>
      <c r="Z386" s="12"/>
      <c r="AA386" s="12"/>
      <c r="AB386" s="12"/>
      <c r="AC386" s="12"/>
      <c r="AD386" s="12"/>
      <c r="AE386" s="12"/>
      <c r="AF386" s="12"/>
      <c r="AG386" s="12"/>
      <c r="AH386" s="12"/>
      <c r="AI386" s="12"/>
    </row>
    <row r="387" spans="1:35" s="10" customFormat="1" x14ac:dyDescent="0.25">
      <c r="A387" s="12"/>
      <c r="B387" s="12"/>
      <c r="C387" s="12"/>
      <c r="D387"/>
      <c r="E387"/>
      <c r="F387"/>
      <c r="G387" s="3"/>
      <c r="H387" s="3"/>
      <c r="I387" s="3"/>
      <c r="J387" s="3"/>
      <c r="K387"/>
      <c r="L387"/>
      <c r="M387"/>
      <c r="N387" s="3"/>
      <c r="O387" s="3"/>
      <c r="P387" s="3"/>
      <c r="Q387" s="3"/>
      <c r="R387" s="3"/>
      <c r="S387"/>
      <c r="T387"/>
      <c r="U387"/>
      <c r="V387"/>
      <c r="W387" s="12"/>
      <c r="X387" s="12"/>
      <c r="Y387" s="12"/>
      <c r="Z387" s="12"/>
      <c r="AA387" s="12"/>
      <c r="AB387" s="12"/>
      <c r="AC387" s="12"/>
      <c r="AD387" s="12"/>
      <c r="AE387" s="12"/>
      <c r="AF387" s="12"/>
      <c r="AG387" s="12"/>
      <c r="AH387" s="12"/>
      <c r="AI387" s="12"/>
    </row>
    <row r="388" spans="1:35" s="10" customFormat="1" x14ac:dyDescent="0.25">
      <c r="A388" s="12"/>
      <c r="B388" s="12"/>
      <c r="C388" s="12"/>
      <c r="D388"/>
      <c r="E388"/>
      <c r="F388"/>
      <c r="G388" s="3"/>
      <c r="H388" s="3"/>
      <c r="I388" s="3"/>
      <c r="J388" s="3"/>
      <c r="K388"/>
      <c r="L388"/>
      <c r="M388"/>
      <c r="N388" s="3"/>
      <c r="O388" s="3"/>
      <c r="P388" s="3"/>
      <c r="Q388" s="3"/>
      <c r="R388" s="3"/>
      <c r="S388"/>
      <c r="T388"/>
      <c r="U388"/>
      <c r="V388"/>
      <c r="W388" s="12"/>
      <c r="X388" s="12"/>
      <c r="Y388" s="12"/>
      <c r="Z388" s="12"/>
      <c r="AA388" s="12"/>
      <c r="AB388" s="12"/>
      <c r="AC388" s="12"/>
      <c r="AD388" s="12"/>
      <c r="AE388" s="12"/>
      <c r="AF388" s="12"/>
      <c r="AG388" s="12"/>
      <c r="AH388" s="12"/>
      <c r="AI388" s="12"/>
    </row>
    <row r="389" spans="1:35" s="10" customFormat="1" x14ac:dyDescent="0.25">
      <c r="A389" s="12"/>
      <c r="B389" s="12"/>
      <c r="C389" s="12"/>
      <c r="D389"/>
      <c r="E389"/>
      <c r="F389"/>
      <c r="G389" s="3"/>
      <c r="H389" s="3"/>
      <c r="I389" s="3"/>
      <c r="J389" s="3"/>
      <c r="K389"/>
      <c r="L389"/>
      <c r="M389"/>
      <c r="N389" s="3"/>
      <c r="O389" s="3"/>
      <c r="P389" s="3"/>
      <c r="Q389" s="3"/>
      <c r="R389" s="3"/>
      <c r="S389"/>
      <c r="T389"/>
      <c r="U389"/>
      <c r="V389"/>
      <c r="W389" s="12"/>
      <c r="X389" s="12"/>
      <c r="Y389" s="12"/>
      <c r="Z389" s="12"/>
      <c r="AA389" s="12"/>
      <c r="AB389" s="12"/>
      <c r="AC389" s="12"/>
      <c r="AD389" s="12"/>
      <c r="AE389" s="12"/>
      <c r="AF389" s="12"/>
      <c r="AG389" s="12"/>
      <c r="AH389" s="12"/>
      <c r="AI389" s="12"/>
    </row>
    <row r="390" spans="1:35" s="10" customFormat="1" x14ac:dyDescent="0.25">
      <c r="A390" s="12"/>
      <c r="B390" s="12"/>
      <c r="C390" s="12"/>
      <c r="D390"/>
      <c r="E390"/>
      <c r="F390"/>
      <c r="G390" s="3"/>
      <c r="H390" s="3"/>
      <c r="I390" s="3"/>
      <c r="J390" s="3"/>
      <c r="K390"/>
      <c r="L390"/>
      <c r="M390"/>
      <c r="N390" s="3"/>
      <c r="O390" s="3"/>
      <c r="P390" s="3"/>
      <c r="Q390" s="3"/>
      <c r="R390" s="3"/>
      <c r="S390"/>
      <c r="T390"/>
      <c r="U390"/>
      <c r="V390"/>
      <c r="W390" s="12"/>
      <c r="X390" s="12"/>
      <c r="Y390" s="12"/>
      <c r="Z390" s="12"/>
      <c r="AA390" s="12"/>
      <c r="AB390" s="12"/>
      <c r="AC390" s="12"/>
      <c r="AD390" s="12"/>
      <c r="AE390" s="12"/>
      <c r="AF390" s="12"/>
      <c r="AG390" s="12"/>
      <c r="AH390" s="12"/>
      <c r="AI390" s="12"/>
    </row>
    <row r="391" spans="1:35" s="10" customFormat="1" x14ac:dyDescent="0.25">
      <c r="A391" s="12"/>
      <c r="B391" s="12"/>
      <c r="C391" s="12"/>
      <c r="D391"/>
      <c r="E391"/>
      <c r="F391"/>
      <c r="G391" s="3"/>
      <c r="H391" s="3"/>
      <c r="I391" s="3"/>
      <c r="J391" s="3"/>
      <c r="K391"/>
      <c r="L391"/>
      <c r="M391"/>
      <c r="N391" s="3"/>
      <c r="O391" s="3"/>
      <c r="P391" s="3"/>
      <c r="Q391" s="3"/>
      <c r="R391" s="3"/>
      <c r="S391"/>
      <c r="T391"/>
      <c r="U391"/>
      <c r="V391"/>
      <c r="W391" s="12"/>
      <c r="X391" s="12"/>
      <c r="Y391" s="12"/>
      <c r="Z391" s="12"/>
      <c r="AA391" s="12"/>
      <c r="AB391" s="12"/>
      <c r="AC391" s="12"/>
      <c r="AD391" s="12"/>
      <c r="AE391" s="12"/>
      <c r="AF391" s="12"/>
      <c r="AG391" s="12"/>
      <c r="AH391" s="12"/>
      <c r="AI391" s="12"/>
    </row>
    <row r="392" spans="1:35" s="10" customFormat="1" x14ac:dyDescent="0.25">
      <c r="A392" s="12"/>
      <c r="B392" s="12"/>
      <c r="C392" s="12"/>
      <c r="D392"/>
      <c r="E392"/>
      <c r="F392"/>
      <c r="G392" s="3"/>
      <c r="H392" s="3"/>
      <c r="I392" s="3"/>
      <c r="J392" s="3"/>
      <c r="K392"/>
      <c r="L392"/>
      <c r="M392"/>
      <c r="N392" s="3"/>
      <c r="O392" s="3"/>
      <c r="P392" s="3"/>
      <c r="Q392" s="3"/>
      <c r="R392" s="3"/>
      <c r="S392"/>
      <c r="T392"/>
      <c r="U392"/>
      <c r="V392"/>
      <c r="W392" s="12"/>
      <c r="X392" s="12"/>
      <c r="Y392" s="12"/>
      <c r="Z392" s="12"/>
      <c r="AA392" s="12"/>
      <c r="AB392" s="12"/>
      <c r="AC392" s="12"/>
      <c r="AD392" s="12"/>
      <c r="AE392" s="12"/>
      <c r="AF392" s="12"/>
      <c r="AG392" s="12"/>
      <c r="AH392" s="12"/>
      <c r="AI392" s="12"/>
    </row>
    <row r="393" spans="1:35" s="10" customFormat="1" x14ac:dyDescent="0.25">
      <c r="A393" s="12"/>
      <c r="B393" s="12"/>
      <c r="C393" s="12"/>
      <c r="D393"/>
      <c r="E393"/>
      <c r="F393"/>
      <c r="G393" s="3"/>
      <c r="H393" s="3"/>
      <c r="I393" s="3"/>
      <c r="J393" s="3"/>
      <c r="K393"/>
      <c r="L393"/>
      <c r="M393"/>
      <c r="N393" s="3"/>
      <c r="O393" s="3"/>
      <c r="P393" s="3"/>
      <c r="Q393" s="3"/>
      <c r="R393" s="3"/>
      <c r="S393"/>
      <c r="T393"/>
      <c r="U393"/>
      <c r="V393"/>
      <c r="W393" s="12"/>
      <c r="X393" s="12"/>
      <c r="Y393" s="12"/>
      <c r="Z393" s="12"/>
      <c r="AA393" s="12"/>
      <c r="AB393" s="12"/>
      <c r="AC393" s="12"/>
      <c r="AD393" s="12"/>
      <c r="AE393" s="12"/>
      <c r="AF393" s="12"/>
      <c r="AG393" s="12"/>
      <c r="AH393" s="12"/>
      <c r="AI393" s="12"/>
    </row>
    <row r="394" spans="1:35" s="10" customFormat="1" x14ac:dyDescent="0.25">
      <c r="A394" s="12"/>
      <c r="B394" s="12"/>
      <c r="C394" s="12"/>
      <c r="D394"/>
      <c r="E394"/>
      <c r="F394"/>
      <c r="G394" s="3"/>
      <c r="H394" s="3"/>
      <c r="I394" s="3"/>
      <c r="J394" s="3"/>
      <c r="K394"/>
      <c r="L394"/>
      <c r="M394"/>
      <c r="N394" s="3"/>
      <c r="O394" s="3"/>
      <c r="P394" s="3"/>
      <c r="Q394" s="3"/>
      <c r="R394" s="3"/>
      <c r="S394"/>
      <c r="T394"/>
      <c r="U394"/>
      <c r="V394"/>
      <c r="W394" s="12"/>
      <c r="X394" s="12"/>
      <c r="Y394" s="12"/>
      <c r="Z394" s="12"/>
      <c r="AA394" s="12"/>
      <c r="AB394" s="12"/>
      <c r="AC394" s="12"/>
      <c r="AD394" s="12"/>
      <c r="AE394" s="12"/>
      <c r="AF394" s="12"/>
      <c r="AG394" s="12"/>
      <c r="AH394" s="12"/>
      <c r="AI394" s="12"/>
    </row>
    <row r="395" spans="1:35" s="10" customFormat="1" x14ac:dyDescent="0.25">
      <c r="A395" s="12"/>
      <c r="B395" s="12"/>
      <c r="C395" s="12"/>
      <c r="D395"/>
      <c r="E395"/>
      <c r="F395"/>
      <c r="G395" s="3"/>
      <c r="H395" s="3"/>
      <c r="I395" s="3"/>
      <c r="J395" s="3"/>
      <c r="K395"/>
      <c r="L395"/>
      <c r="M395"/>
      <c r="N395" s="3"/>
      <c r="O395" s="3"/>
      <c r="P395" s="3"/>
      <c r="Q395" s="3"/>
      <c r="R395" s="3"/>
      <c r="S395"/>
      <c r="T395"/>
      <c r="U395"/>
      <c r="V395"/>
      <c r="W395" s="12"/>
      <c r="X395" s="12"/>
      <c r="Y395" s="12"/>
      <c r="Z395" s="12"/>
      <c r="AA395" s="12"/>
      <c r="AB395" s="12"/>
      <c r="AC395" s="12"/>
      <c r="AD395" s="12"/>
      <c r="AE395" s="12"/>
      <c r="AF395" s="12"/>
      <c r="AG395" s="12"/>
      <c r="AH395" s="12"/>
      <c r="AI395" s="12"/>
    </row>
    <row r="396" spans="1:35" s="10" customFormat="1" x14ac:dyDescent="0.25">
      <c r="A396" s="12"/>
      <c r="B396" s="12"/>
      <c r="C396" s="12"/>
      <c r="D396"/>
      <c r="E396"/>
      <c r="F396"/>
      <c r="G396" s="3"/>
      <c r="H396" s="3"/>
      <c r="I396" s="3"/>
      <c r="J396" s="3"/>
      <c r="K396"/>
      <c r="L396"/>
      <c r="M396"/>
      <c r="N396" s="3"/>
      <c r="O396" s="3"/>
      <c r="P396" s="3"/>
      <c r="Q396" s="3"/>
      <c r="R396" s="3"/>
      <c r="S396"/>
      <c r="T396"/>
      <c r="U396"/>
      <c r="V396"/>
      <c r="W396" s="12"/>
      <c r="X396" s="12"/>
      <c r="Y396" s="12"/>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s="15"/>
      <c r="E442"/>
      <c r="F442"/>
      <c r="G442" s="3"/>
      <c r="H442" s="3"/>
      <c r="I442" s="3"/>
      <c r="J442" s="3"/>
      <c r="K442"/>
      <c r="L442"/>
      <c r="M442"/>
      <c r="N442" s="3"/>
      <c r="O442" s="3"/>
      <c r="P442" s="3"/>
      <c r="Q442" s="3"/>
      <c r="R442" s="3"/>
      <c r="S442"/>
      <c r="T442"/>
      <c r="U442" s="12"/>
      <c r="V442" s="12"/>
      <c r="W442" s="12"/>
      <c r="X442" s="12"/>
      <c r="Y442" s="12"/>
      <c r="Z442" s="12"/>
      <c r="AA442" s="12"/>
      <c r="AB442" s="12"/>
      <c r="AC442" s="12"/>
      <c r="AD442" s="12"/>
      <c r="AE442" s="12"/>
      <c r="AF442" s="12"/>
      <c r="AG442" s="12"/>
      <c r="AH442" s="12"/>
      <c r="AI442" s="12"/>
    </row>
    <row r="443" spans="1:35" s="10" customFormat="1" x14ac:dyDescent="0.25">
      <c r="A443" s="12"/>
      <c r="B443" s="12"/>
      <c r="C443" s="12"/>
      <c r="D443" s="15"/>
      <c r="E443"/>
      <c r="F443"/>
      <c r="G443" s="3"/>
      <c r="H443" s="3"/>
      <c r="I443" s="3"/>
      <c r="J443" s="3"/>
      <c r="K443"/>
      <c r="L443"/>
      <c r="M443"/>
      <c r="N443" s="3"/>
      <c r="O443" s="3"/>
      <c r="P443" s="3"/>
      <c r="Q443" s="3"/>
      <c r="R443" s="3"/>
      <c r="S443"/>
      <c r="T443"/>
      <c r="U443" s="12"/>
      <c r="V443" s="12"/>
      <c r="W443" s="12"/>
      <c r="X443" s="12"/>
      <c r="Y443" s="12"/>
      <c r="Z443" s="12"/>
      <c r="AA443" s="12"/>
      <c r="AB443" s="12"/>
      <c r="AC443" s="12"/>
      <c r="AD443" s="12"/>
      <c r="AE443" s="12"/>
      <c r="AF443" s="12"/>
      <c r="AG443" s="12"/>
      <c r="AH443" s="12"/>
      <c r="AI443" s="12"/>
    </row>
    <row r="444" spans="1:35" s="10" customFormat="1" x14ac:dyDescent="0.25">
      <c r="A444" s="12"/>
      <c r="B444" s="12"/>
      <c r="C444" s="12"/>
      <c r="D444" s="15"/>
      <c r="E444"/>
      <c r="F444"/>
      <c r="G444" s="3"/>
      <c r="H444" s="3"/>
      <c r="I444" s="3"/>
      <c r="J444" s="3"/>
      <c r="K444"/>
      <c r="L444"/>
      <c r="M444"/>
      <c r="N444" s="3"/>
      <c r="O444" s="3"/>
      <c r="P444" s="3"/>
      <c r="Q444" s="3"/>
      <c r="R444" s="3"/>
      <c r="S444"/>
      <c r="T444"/>
      <c r="U444" s="12"/>
      <c r="V444" s="12"/>
      <c r="W444" s="12"/>
      <c r="X444" s="12"/>
      <c r="Y444" s="12"/>
      <c r="Z444" s="12"/>
      <c r="AA444" s="12"/>
      <c r="AB444" s="12"/>
      <c r="AC444" s="12"/>
      <c r="AD444" s="12"/>
      <c r="AE444" s="12"/>
      <c r="AF444" s="12"/>
      <c r="AG444" s="12"/>
      <c r="AH444" s="12"/>
      <c r="AI444" s="12"/>
    </row>
    <row r="445" spans="1:35" s="10" customFormat="1" x14ac:dyDescent="0.25">
      <c r="A445" s="12"/>
      <c r="B445" s="12"/>
      <c r="C445" s="12"/>
      <c r="D445" s="12"/>
      <c r="E445"/>
      <c r="F445"/>
      <c r="G445" s="3"/>
      <c r="H445" s="3"/>
      <c r="I445" s="3"/>
      <c r="J445" s="3"/>
      <c r="K445"/>
      <c r="L445"/>
      <c r="M445"/>
      <c r="N445" s="3"/>
      <c r="O445" s="3"/>
      <c r="P445" s="3"/>
      <c r="Q445" s="3"/>
      <c r="R445" s="3"/>
      <c r="S445"/>
      <c r="T445"/>
      <c r="U445" s="12"/>
      <c r="V445" s="12"/>
      <c r="W445" s="12"/>
      <c r="X445" s="12"/>
      <c r="Y445" s="12"/>
      <c r="Z445" s="12"/>
      <c r="AA445" s="12"/>
      <c r="AB445" s="12"/>
      <c r="AC445" s="12"/>
      <c r="AD445" s="12"/>
      <c r="AE445" s="12"/>
      <c r="AF445" s="12"/>
      <c r="AG445" s="12"/>
      <c r="AH445" s="12"/>
      <c r="AI445" s="12"/>
    </row>
    <row r="446" spans="1:35" s="10" customFormat="1" x14ac:dyDescent="0.25">
      <c r="A446" s="12"/>
      <c r="B446" s="12"/>
      <c r="C446" s="12"/>
      <c r="D446" s="12"/>
      <c r="E446"/>
      <c r="F446"/>
      <c r="G446" s="3"/>
      <c r="H446" s="3"/>
      <c r="I446" s="3"/>
      <c r="J446" s="3"/>
      <c r="K446"/>
      <c r="L446"/>
      <c r="M446"/>
      <c r="N446" s="3"/>
      <c r="O446" s="3"/>
      <c r="P446" s="3"/>
      <c r="Q446" s="3"/>
      <c r="R446" s="3"/>
      <c r="S446"/>
      <c r="T446"/>
      <c r="U446" s="12"/>
      <c r="V446" s="12"/>
      <c r="W446" s="12"/>
      <c r="X446" s="12"/>
      <c r="Y446" s="12"/>
      <c r="Z446" s="12"/>
      <c r="AA446" s="12"/>
      <c r="AB446" s="12"/>
      <c r="AC446" s="12"/>
      <c r="AD446" s="12"/>
      <c r="AE446" s="12"/>
      <c r="AF446" s="12"/>
      <c r="AG446" s="12"/>
      <c r="AH446" s="12"/>
      <c r="AI446" s="12"/>
    </row>
    <row r="447" spans="1:35" s="10" customFormat="1" x14ac:dyDescent="0.25">
      <c r="A447" s="12"/>
      <c r="B447" s="12"/>
      <c r="C447" s="12"/>
      <c r="D447" s="12"/>
      <c r="E447" s="12"/>
      <c r="G447" s="14"/>
      <c r="H447" s="17"/>
      <c r="I447" s="14"/>
      <c r="M447" s="12"/>
      <c r="T447" s="12"/>
      <c r="U447" s="12"/>
      <c r="V447" s="12"/>
      <c r="W447" s="12"/>
      <c r="X447" s="12"/>
      <c r="Y447" s="12"/>
      <c r="Z447" s="12"/>
      <c r="AA447" s="12"/>
      <c r="AB447" s="12"/>
      <c r="AC447" s="12"/>
      <c r="AD447" s="12"/>
      <c r="AE447" s="12"/>
      <c r="AF447" s="12"/>
      <c r="AG447" s="12"/>
      <c r="AH447" s="12"/>
      <c r="AI447" s="12"/>
    </row>
    <row r="448" spans="1:35" s="10" customFormat="1" x14ac:dyDescent="0.25">
      <c r="A448" s="12"/>
      <c r="B448" s="12"/>
      <c r="C448" s="12"/>
      <c r="D448" s="12"/>
      <c r="E448" s="12"/>
      <c r="G448" s="14"/>
      <c r="H448" s="17"/>
      <c r="I448" s="14"/>
      <c r="M448" s="12"/>
      <c r="T448" s="12"/>
      <c r="U448" s="12"/>
      <c r="V448" s="12"/>
      <c r="W448" s="12"/>
      <c r="X448" s="12"/>
      <c r="Y448" s="12"/>
      <c r="Z448" s="12"/>
      <c r="AA448" s="12"/>
      <c r="AB448" s="12"/>
      <c r="AC448" s="12"/>
      <c r="AD448" s="12"/>
      <c r="AE448" s="12"/>
      <c r="AF448" s="12"/>
      <c r="AG448" s="12"/>
      <c r="AH448" s="12"/>
      <c r="AI448" s="12"/>
    </row>
    <row r="449" spans="1:35" s="10" customFormat="1" x14ac:dyDescent="0.25">
      <c r="A449" s="12"/>
      <c r="B449" s="12"/>
      <c r="C449" s="12"/>
      <c r="D449" s="12"/>
      <c r="E449" s="12"/>
      <c r="G449" s="14"/>
      <c r="H449" s="17"/>
      <c r="I449" s="14"/>
      <c r="M449" s="12"/>
      <c r="T449" s="12"/>
      <c r="U449" s="12"/>
      <c r="V449" s="12"/>
      <c r="W449" s="12"/>
      <c r="X449" s="12"/>
      <c r="Y449" s="12"/>
      <c r="Z449" s="12"/>
      <c r="AA449" s="12"/>
      <c r="AB449" s="12"/>
      <c r="AC449" s="12"/>
      <c r="AD449" s="12"/>
      <c r="AE449" s="12"/>
      <c r="AF449" s="12"/>
      <c r="AG449" s="12"/>
      <c r="AH449" s="12"/>
      <c r="AI449" s="12"/>
    </row>
    <row r="450" spans="1:35" s="10" customFormat="1" x14ac:dyDescent="0.25">
      <c r="A450" s="12"/>
      <c r="B450" s="12"/>
      <c r="C450" s="12"/>
      <c r="D450" s="12"/>
      <c r="E450" s="12"/>
      <c r="G450" s="14"/>
      <c r="H450" s="17"/>
      <c r="I450" s="14"/>
      <c r="M450" s="12"/>
      <c r="T450" s="12"/>
      <c r="U450" s="12"/>
      <c r="V450" s="12"/>
      <c r="W450" s="12"/>
      <c r="X450" s="12"/>
      <c r="Y450" s="12"/>
      <c r="Z450" s="12"/>
      <c r="AA450" s="12"/>
      <c r="AB450" s="12"/>
      <c r="AC450" s="12"/>
      <c r="AD450" s="12"/>
      <c r="AE450" s="12"/>
      <c r="AF450" s="12"/>
      <c r="AG450" s="12"/>
      <c r="AH450" s="12"/>
      <c r="AI450" s="12"/>
    </row>
    <row r="451" spans="1:35" s="10" customFormat="1" x14ac:dyDescent="0.25">
      <c r="A451" s="12"/>
      <c r="B451" s="12"/>
      <c r="C451" s="12"/>
      <c r="D451" s="12"/>
      <c r="E451" s="12"/>
      <c r="G451" s="14"/>
      <c r="H451" s="17"/>
      <c r="I451" s="14"/>
      <c r="M451" s="12"/>
      <c r="T451" s="12"/>
      <c r="U451" s="12"/>
      <c r="V451" s="12"/>
      <c r="W451" s="12"/>
      <c r="X451" s="12"/>
      <c r="Y451" s="12"/>
      <c r="Z451" s="12"/>
      <c r="AA451" s="12"/>
      <c r="AB451" s="12"/>
      <c r="AC451" s="12"/>
      <c r="AD451" s="12"/>
      <c r="AE451" s="12"/>
      <c r="AF451" s="12"/>
      <c r="AG451" s="12"/>
      <c r="AH451" s="12"/>
      <c r="AI451" s="12"/>
    </row>
    <row r="452" spans="1:35" s="10" customFormat="1" x14ac:dyDescent="0.25">
      <c r="A452" s="12"/>
      <c r="B452" s="12"/>
      <c r="C452" s="12"/>
      <c r="D452" s="12"/>
      <c r="E452" s="12"/>
      <c r="G452" s="14"/>
      <c r="H452" s="17"/>
      <c r="I452" s="14"/>
      <c r="M452" s="12"/>
      <c r="T452" s="12"/>
      <c r="U452" s="12"/>
      <c r="V452" s="12"/>
      <c r="W452" s="12"/>
      <c r="X452" s="12"/>
      <c r="Y452" s="12"/>
      <c r="Z452" s="12"/>
      <c r="AA452" s="12"/>
      <c r="AB452" s="12"/>
      <c r="AC452" s="12"/>
      <c r="AD452" s="12"/>
      <c r="AE452" s="12"/>
      <c r="AF452" s="12"/>
      <c r="AG452" s="12"/>
      <c r="AH452" s="12"/>
      <c r="AI452" s="12"/>
    </row>
    <row r="453" spans="1:35" s="10" customFormat="1" x14ac:dyDescent="0.25">
      <c r="A453" s="12"/>
      <c r="B453" s="12"/>
      <c r="C453" s="12"/>
      <c r="D453" s="12"/>
      <c r="E453" s="12"/>
      <c r="G453" s="14"/>
      <c r="H453" s="17"/>
      <c r="I453" s="14"/>
      <c r="M453" s="12"/>
      <c r="T453" s="12"/>
      <c r="U453" s="12"/>
      <c r="V453" s="12"/>
      <c r="W453" s="12"/>
      <c r="X453" s="12"/>
      <c r="Y453" s="12"/>
      <c r="Z453" s="12"/>
      <c r="AA453" s="12"/>
      <c r="AB453" s="12"/>
      <c r="AC453" s="12"/>
      <c r="AD453" s="12"/>
      <c r="AE453" s="12"/>
      <c r="AF453" s="12"/>
      <c r="AG453" s="12"/>
      <c r="AH453" s="12"/>
      <c r="AI453" s="12"/>
    </row>
    <row r="454" spans="1:35" s="10" customFormat="1" x14ac:dyDescent="0.25">
      <c r="A454" s="12"/>
      <c r="B454" s="12"/>
      <c r="C454" s="12"/>
      <c r="D454" s="12"/>
      <c r="E454" s="12"/>
      <c r="G454" s="14"/>
      <c r="H454" s="17"/>
      <c r="I454" s="14"/>
      <c r="M454" s="12"/>
      <c r="T454" s="12"/>
      <c r="U454" s="12"/>
      <c r="V454" s="12"/>
      <c r="W454" s="12"/>
      <c r="X454" s="12"/>
      <c r="Y454" s="12"/>
      <c r="Z454" s="12"/>
      <c r="AA454" s="12"/>
      <c r="AB454" s="12"/>
      <c r="AC454" s="12"/>
      <c r="AD454" s="12"/>
      <c r="AE454" s="12"/>
      <c r="AF454" s="12"/>
      <c r="AG454" s="12"/>
      <c r="AH454" s="12"/>
      <c r="AI454" s="12"/>
    </row>
    <row r="455" spans="1:35" s="10" customFormat="1" x14ac:dyDescent="0.25">
      <c r="A455" s="12"/>
      <c r="B455" s="12"/>
      <c r="C455" s="12"/>
      <c r="D455" s="12"/>
      <c r="E455" s="12"/>
      <c r="G455" s="14"/>
      <c r="H455" s="17"/>
      <c r="I455" s="14"/>
      <c r="M455" s="12"/>
      <c r="T455" s="12"/>
      <c r="U455" s="12"/>
      <c r="V455" s="12"/>
      <c r="W455" s="12"/>
      <c r="X455" s="12"/>
      <c r="Y455" s="12"/>
      <c r="Z455" s="12"/>
      <c r="AA455" s="12"/>
      <c r="AB455" s="12"/>
      <c r="AC455" s="12"/>
      <c r="AD455" s="12"/>
      <c r="AE455" s="12"/>
      <c r="AF455" s="12"/>
      <c r="AG455" s="12"/>
      <c r="AH455" s="12"/>
      <c r="AI455" s="12"/>
    </row>
    <row r="456" spans="1:35" s="10" customFormat="1" x14ac:dyDescent="0.25">
      <c r="A456" s="12"/>
      <c r="B456" s="12"/>
      <c r="C456" s="12"/>
      <c r="D456" s="12"/>
      <c r="E456" s="12"/>
      <c r="G456" s="14"/>
      <c r="H456" s="17"/>
      <c r="I456" s="14"/>
      <c r="M456" s="12"/>
      <c r="T456" s="12"/>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2"/>
      <c r="E457" s="12"/>
      <c r="G457" s="14"/>
      <c r="H457" s="17"/>
      <c r="I457" s="14"/>
      <c r="M457" s="12"/>
      <c r="T457" s="12"/>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2"/>
      <c r="E458" s="12"/>
      <c r="G458" s="14"/>
      <c r="H458" s="17"/>
      <c r="I458" s="14"/>
      <c r="M458" s="12"/>
      <c r="T458" s="12"/>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s="12"/>
      <c r="G459" s="14"/>
      <c r="H459" s="17"/>
      <c r="I459" s="14"/>
      <c r="M459" s="12"/>
      <c r="T459" s="12"/>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s="12"/>
      <c r="G460" s="14"/>
      <c r="H460" s="17"/>
      <c r="I460" s="14"/>
      <c r="M460" s="12"/>
      <c r="T460" s="12"/>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8" spans="1:35" s="10" customFormat="1" x14ac:dyDescent="0.25">
      <c r="A488" s="12"/>
      <c r="B488" s="12"/>
      <c r="C488" s="12"/>
      <c r="D488" s="12"/>
      <c r="E488" s="12"/>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11</xdr:col>
                <xdr:colOff>9525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11</xdr:col>
                <xdr:colOff>9525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11</xdr:col>
                <xdr:colOff>9525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11</xdr:col>
                <xdr:colOff>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C11" sqref="C11:F17"/>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223</v>
      </c>
      <c r="D16" s="3">
        <v>5</v>
      </c>
      <c r="E16" t="s">
        <v>224</v>
      </c>
      <c r="F16" t="s">
        <v>225</v>
      </c>
    </row>
    <row r="17" spans="3:6" x14ac:dyDescent="0.25">
      <c r="C17" t="s">
        <v>196</v>
      </c>
      <c r="D17" s="3">
        <v>6</v>
      </c>
      <c r="E17" t="s">
        <v>87</v>
      </c>
      <c r="F17" t="s">
        <v>202</v>
      </c>
    </row>
    <row r="18" spans="3:6" x14ac:dyDescent="0.25">
      <c r="C18" s="2"/>
      <c r="D18" s="3">
        <v>7</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Martin Šťastný</cp:lastModifiedBy>
  <dcterms:created xsi:type="dcterms:W3CDTF">2006-09-16T00:00:00Z</dcterms:created>
  <dcterms:modified xsi:type="dcterms:W3CDTF">2025-07-23T06:57:46Z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