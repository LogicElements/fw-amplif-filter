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arti\Desktop\Jablotron\AMP\FW\Documents\"/>
    </mc:Choice>
  </mc:AlternateContent>
  <xr:revisionPtr revIDLastSave="0" documentId="13_ncr:1_{632318E8-483C-4779-9D45-74FCD28BCA71}" xr6:coauthVersionLast="47" xr6:coauthVersionMax="47" xr10:uidLastSave="{00000000-0000-0000-0000-000000000000}"/>
  <bookViews>
    <workbookView xWindow="-60" yWindow="-16320" windowWidth="29040" windowHeight="1584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0" i="25" l="1"/>
  <c r="I80" i="25"/>
  <c r="L80" i="25"/>
  <c r="K76" i="25"/>
  <c r="L79" i="25"/>
  <c r="L78" i="25"/>
  <c r="I77" i="25"/>
  <c r="I78" i="25" s="1"/>
  <c r="I74" i="25"/>
  <c r="K72" i="25"/>
  <c r="K73" i="25"/>
  <c r="K74" i="25"/>
  <c r="K77" i="25"/>
  <c r="L77" i="25"/>
  <c r="L76" i="25"/>
  <c r="L74" i="25"/>
  <c r="K71" i="25"/>
  <c r="K70" i="25"/>
  <c r="K69" i="25"/>
  <c r="L69" i="25"/>
  <c r="I79" i="25" l="1"/>
  <c r="K79" i="25" s="1"/>
  <c r="K78" i="25"/>
  <c r="L65" i="25"/>
  <c r="L66" i="25"/>
  <c r="L67" i="25"/>
  <c r="L68" i="25"/>
  <c r="L60" i="25"/>
  <c r="L64" i="25"/>
  <c r="L57" i="25"/>
  <c r="L54" i="25"/>
  <c r="I54" i="25"/>
  <c r="I55" i="25" s="1"/>
  <c r="I56" i="25" s="1"/>
  <c r="I57" i="25" s="1"/>
  <c r="L31" i="25"/>
  <c r="F11" i="25"/>
  <c r="F8" i="25"/>
  <c r="F10" i="25"/>
  <c r="F9" i="25"/>
  <c r="K54" i="25" l="1"/>
  <c r="K57" i="25"/>
  <c r="I58" i="25"/>
  <c r="I59" i="25" s="1"/>
  <c r="I60" i="25" s="1"/>
  <c r="I61" i="25" s="1"/>
  <c r="I62" i="25" s="1"/>
  <c r="K55" i="25"/>
  <c r="K56" i="25"/>
  <c r="I63" i="25" l="1"/>
  <c r="I64" i="25" s="1"/>
  <c r="I65" i="25" s="1"/>
  <c r="K60" i="25"/>
  <c r="K64" i="25"/>
  <c r="L30" i="25"/>
  <c r="K45" i="25"/>
  <c r="K49" i="25"/>
  <c r="L50" i="25"/>
  <c r="I50" i="25"/>
  <c r="K50" i="25" s="1"/>
  <c r="L49" i="25"/>
  <c r="L45" i="25"/>
  <c r="L29" i="25"/>
  <c r="I66" i="25" l="1"/>
  <c r="K65" i="25"/>
  <c r="L41" i="25"/>
  <c r="L40" i="25"/>
  <c r="L39" i="25"/>
  <c r="L38" i="25"/>
  <c r="L36" i="25"/>
  <c r="L35" i="25"/>
  <c r="L34" i="25"/>
  <c r="L33" i="25"/>
  <c r="L28" i="25"/>
  <c r="L27" i="25"/>
  <c r="L20" i="25"/>
  <c r="L19" i="25"/>
  <c r="L18" i="25"/>
  <c r="K38" i="25"/>
  <c r="K33" i="25"/>
  <c r="K66" i="25" l="1"/>
  <c r="I67" i="25"/>
  <c r="I39" i="25"/>
  <c r="I68" i="25" l="1"/>
  <c r="K68" i="25" s="1"/>
  <c r="K67" i="25"/>
  <c r="I40" i="25"/>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<sst xmlns="http://schemas.openxmlformats.org/spreadsheetml/2006/main" count="469" uniqueCount="294">
  <si>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</si>
  <si>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</si>
  <si>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</si>
  <si>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</si>
  <si>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</si>
  <si>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</si>
  <si>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</si>
  <si>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</si>
  <si>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</si>
  <si>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</si>
  <si>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</si>
  <si>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</si>
  <si>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</si>
  <si>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</si>
  <si>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</si>
  <si>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</si>
  <si>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</si>
  <si>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</si>
  <si>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</si>
  <si>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</si>
  <si>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</si>
  <si>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</si>
  <si>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</si>
  <si>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</si>
  <si>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</si>
  <si>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</si>
  <si>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</si>
  <si>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</si>
  <si>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</si>
  <si>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</si>
  <si>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</si>
  <si>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</si>
  <si>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</si>
  <si>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</si>
  <si>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</si>
  <si>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</si>
  <si>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</si>
  <si>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</si>
  <si>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</si>
  <si>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</si>
  <si>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</si>
  <si>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</si>
  <si>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</si>
  <si>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</si>
  <si>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</si>
  <si>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</si>
  <si>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</si>
  <si>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</si>
  <si>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</si>
  <si>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</si>
  <si>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</si>
  <si>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</si>
  <si>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</si>
  <si>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</si>
  <si>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</si>
  <si>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</si>
  <si>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</si>
  <si>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</si>
  <si>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</si>
  <si>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</si>
  <si>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</si>
  <si>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</si>
  <si>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</si>
  <si>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</si>
  <si>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</si>
  <si>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</si>
  <si>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</si>
  <si>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</si>
  <si>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</si>
  <si>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</si>
  <si>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</si>
  <si>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</si>
  <si>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</si>
  <si>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</si>
  <si>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</si>
  <si>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</si>
  <si>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</si>
  <si>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</si>
  <si>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</si>
  <si>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</si>
  <si>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</si>
  <si>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</si>
  <si>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</si>
  <si>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</si>
  <si>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</si>
  <si>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</si>
  <si>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</si>
  <si>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</si>
  <si>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</si>
  <si>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</si>
  <si>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</si>
  <si>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</si>
  <si>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</si>
  <si>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</si>
  <si>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</si>
  <si>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</si>
  <si>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</si>
  <si>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</si>
  <si>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</si>
  <si>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</si>
  <si>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</si>
  <si>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</si>
  <si>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</si>
  <si>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</si>
  <si>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</si>
  <si>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</si>
  <si>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</si>
  <si>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</si>
  <si>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</si>
  <si>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</si>
  <si>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</si>
  <si>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</si>
  <si>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</si>
  <si>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</si>
  <si>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</si>
  <si>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</si>
  <si>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</si>
  <si>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</si>
  <si>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</si>
  <si>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</si>
  <si>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</si>
  <si>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</si>
  <si>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</si>
  <si>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</si>
  <si>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</si>
  <si>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</si>
  <si>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</si>
  <si>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</si>
  <si>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</si>
  <si>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</si>
  <si>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</si>
  <si>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</si>
  <si>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</si>
  <si>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</si>
  <si>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</si>
  <si>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</si>
  <si>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</si>
  <si>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</si>
  <si>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</si>
  <si>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</si>
  <si>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</si>
  <si>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</si>
  <si>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</si>
  <si>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</si>
  <si>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</si>
  <si>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</si>
  <si>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</si>
  <si>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</si>
  <si>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</si>
  <si>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</si>
  <si>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</si>
  <si>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</si>
  <si>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</si>
  <si>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</si>
  <si>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</si>
  <si>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</si>
  <si>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</si>
  <si>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</si>
  <si>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</si>
  <si>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</si>
  <si>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</si>
  <si>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</si>
  <si>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</si>
  <si>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</si>
  <si>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</si>
  <si>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</si>
  <si>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</si>
  <si>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</si>
  <si>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</si>
  <si>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</si>
  <si>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</si>
  <si>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</si>
  <si>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</si>
  <si>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</si>
  <si>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</si>
  <si>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</si>
  <si>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</si>
  <si>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</si>
  <si>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</si>
  <si>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</si>
  <si>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</si>
  <si>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</si>
  <si>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</si>
  <si>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</si>
  <si>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</si>
  <si>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</si>
  <si>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</si>
  <si>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</si>
  <si>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</si>
  <si>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</si>
  <si>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</si>
  <si>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</si>
  <si>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</si>
  <si>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</si>
  <si>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</si>
  <si>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</si>
  <si>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</si>
  <si>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</si>
  <si>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</si>
  <si>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</si>
  <si>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</si>
  <si>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</si>
  <si>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</si>
  <si>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</si>
  <si>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</si>
  <si>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</si>
  <si>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</si>
  <si>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</si>
  <si>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</si>
  <si>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</si>
  <si>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</si>
  <si>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</si>
  <si>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</si>
  <si>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</si>
  <si>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</si>
  <si>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</si>
  <si>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</si>
  <si>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</si>
  <si>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</si>
  <si>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</si>
  <si>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D:\work\gitlab\fw-phase-det-2\Documents\txts\PhaseDet2_Modbus.json</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</si>
  <si>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</si>
  <si>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</si>
  <si>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</si>
  <si>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</si>
  <si>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</si>
  <si>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</si>
  <si>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</si>
  <si>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</si>
  <si>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</si>
  <si>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</si>
  <si>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</si>
  <si>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</si>
  <si>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</si>
  <si>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</si>
  <si>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</si>
  <si>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</si>
  <si>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</si>
  <si>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</si>
  <si>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</si>
  <si>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</si>
  <si>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</si>
  <si>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</si>
  <si>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</si>
  <si>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</si>
  <si>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</si>
  <si>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</si>
  <si>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</si>
  <si>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</si>
  <si>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</si>
  <si>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</si>
  <si>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</si>
  <si>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</si>
  <si>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</si>
  <si>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</si>
  <si>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</si>
  <si>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</si>
  <si>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</si>
  <si>
    <t>GAIN</t>
  </si>
  <si>
    <t>Amplifier gain</t>
  </si>
  <si>
    <t>GAIN_1</t>
  </si>
  <si>
    <t>GAIN_3</t>
  </si>
  <si>
    <t>GAIN_10</t>
  </si>
  <si>
    <t>GAIN_20</t>
  </si>
  <si>
    <t>Gain 1x</t>
  </si>
  <si>
    <t>Gain 3x</t>
  </si>
  <si>
    <t>Gain 10x</t>
  </si>
  <si>
    <t>Gain 20x</t>
  </si>
  <si>
    <t>OFFSET</t>
  </si>
  <si>
    <t>Offset servo</t>
  </si>
  <si>
    <t>Enable DC servo for offset compensation</t>
  </si>
  <si>
    <t>C:\Users\marti\Desktop\Jablotron\AMP\FW\Documents\txts\reg_map.c</t>
  </si>
  <si>
    <t>C:\Users\marti\Desktop\Jablotron\AMP\FW\Documents\txts\AmplifFilter_Define.txt</t>
  </si>
  <si>
    <t>C:\Users\marti\Desktop\Jablotron\AMP\FW\Documents\txts\AmplifFilter_Registers.json</t>
  </si>
  <si>
    <t>C:\Users\marti\Desktop\Jablotron\AMP\FW\Documents\txts\AmplifFilter_Storage.txt</t>
  </si>
  <si>
    <t>C:\Users\marti\Desktop\Jablotron\AMP\FW\Documents\txts\AmplifFilter_Factory.txt</t>
  </si>
  <si>
    <t>DSP</t>
  </si>
  <si>
    <t>RMS</t>
  </si>
  <si>
    <t>Root mean square</t>
  </si>
  <si>
    <t>RMS of sampled signal</t>
  </si>
  <si>
    <t>Variable gain of main amplifier</t>
  </si>
  <si>
    <t>MEAN</t>
  </si>
  <si>
    <t>Mean</t>
  </si>
  <si>
    <t>Signal´s mean</t>
  </si>
  <si>
    <t>STD</t>
  </si>
  <si>
    <t>Standard deviation</t>
  </si>
  <si>
    <t>VAR</t>
  </si>
  <si>
    <t>Variance</t>
  </si>
  <si>
    <t>Variance of measured signal</t>
  </si>
  <si>
    <t>Standard deviation of measured signal</t>
  </si>
  <si>
    <t>DSP registers (variation,mean,etc)</t>
  </si>
  <si>
    <t>FIR</t>
  </si>
  <si>
    <t>Filtred value</t>
  </si>
  <si>
    <t>FIR filtered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</si>
</sst>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60">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0" fillId="0" borderId="0" xfId="0" applyFont="1" applyAlignment="1">
      <alignment horizontal="center" vertical="top"/>
    </xf>
    <xf numFmtId="0" fontId="0" fillId="0" borderId="0" xfId="0" applyFont="1" applyAlignment="1">
      <alignment horizontal="center" vertical="top" wrapText="1"/>
    </xf>
    <xf numFmtId="0" fontId="0" fillId="0" borderId="0" xfId="0" applyFont="1" applyAlignment="1">
      <alignment vertical="top"/>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14"/>
  <sheetViews>
    <sheetView tabSelected="1" topLeftCell="B52" zoomScaleNormal="100" workbookViewId="0">
      <selection activeCell="R81" sqref="R81"/>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271</v>
      </c>
      <c r="T3" s="31"/>
    </row>
    <row r="4" spans="1:26" ht="24.95" customHeight="1" x14ac:dyDescent="0.25">
      <c r="D4" s="31" t="s">
        <v>18</v>
      </c>
      <c r="E4" s="31"/>
      <c r="F4" s="31" t="s">
        <v>113</v>
      </c>
      <c r="J4" s="3" t="s">
        <v>1</v>
      </c>
      <c r="K4" s="9" t="s">
        <v>5</v>
      </c>
      <c r="L4" s="8" t="s">
        <v>272</v>
      </c>
      <c r="M4" s="11"/>
      <c r="U4" s="12" t="s">
        <v>1</v>
      </c>
      <c r="Z4" s="10"/>
    </row>
    <row r="5" spans="1:26" ht="24.95" customHeight="1" x14ac:dyDescent="0.25">
      <c r="D5" s="31" t="s">
        <v>19</v>
      </c>
      <c r="E5" s="31"/>
      <c r="F5" s="31" t="s">
        <v>20</v>
      </c>
      <c r="J5" s="3" t="s">
        <v>1</v>
      </c>
      <c r="K5" s="9" t="s">
        <v>100</v>
      </c>
      <c r="L5" s="8" t="s">
        <v>273</v>
      </c>
      <c r="M5" s="11"/>
      <c r="U5" s="12" t="s">
        <v>1</v>
      </c>
      <c r="Z5" s="10"/>
    </row>
    <row r="6" spans="1:26" ht="24.95" customHeight="1" x14ac:dyDescent="0.25">
      <c r="D6" s="31" t="s">
        <v>63</v>
      </c>
      <c r="E6" s="13"/>
      <c r="F6" s="32">
        <v>1</v>
      </c>
      <c r="J6" s="3" t="s">
        <v>1</v>
      </c>
      <c r="K6" s="9" t="s">
        <v>17</v>
      </c>
      <c r="L6" s="8" t="s">
        <v>274</v>
      </c>
      <c r="M6" s="11"/>
      <c r="U6" s="12" t="s">
        <v>1</v>
      </c>
      <c r="Z6" s="10"/>
    </row>
    <row r="7" spans="1:26" ht="24.95" customHeight="1" x14ac:dyDescent="0.25">
      <c r="D7" s="31" t="s">
        <v>143</v>
      </c>
      <c r="E7" s="13"/>
      <c r="F7" s="31" t="str">
        <f>GetWorkName()</f>
        <v>AmplifFilter</v>
      </c>
      <c r="J7" s="3" t="s">
        <v>1</v>
      </c>
      <c r="K7" s="9" t="s">
        <v>21</v>
      </c>
      <c r="L7" s="8" t="s">
        <v>275</v>
      </c>
      <c r="M7" s="11"/>
      <c r="U7" s="12" t="s">
        <v>1</v>
      </c>
      <c r="Z7" s="10"/>
    </row>
    <row r="8" spans="1:26" ht="24.95" customHeight="1" x14ac:dyDescent="0.25">
      <c r="D8" s="31" t="s">
        <v>117</v>
      </c>
      <c r="E8" s="13"/>
      <c r="F8" s="31" t="str">
        <f>GetPath()&amp;"\..\Firmware\AmplifFilter-App\Core\Common\"</f>
        <v>C:\Users\marti\Desktop\Jablotron\AMP\FW\Documents\..\Firmware\AmplifFilter-App\Core\Common\</v>
      </c>
      <c r="J8" s="3" t="s">
        <v>1</v>
      </c>
      <c r="K8" s="9" t="s">
        <v>145</v>
      </c>
      <c r="L8" s="8" t="s">
        <v>220</v>
      </c>
      <c r="M8" s="11"/>
      <c r="U8" s="12" t="s">
        <v>1</v>
      </c>
      <c r="Z8" s="10"/>
    </row>
    <row r="9" spans="1:26" ht="24.95" customHeight="1" x14ac:dyDescent="0.25">
      <c r="D9" s="31" t="s">
        <v>148</v>
      </c>
      <c r="E9" s="13"/>
      <c r="F9" s="31" t="str">
        <f>GetPath()&amp;"\..\Firmware\AmplifFilter-App\Core\Common\"</f>
        <v>C:\Users\marti\Desktop\Jablotron\AMP\FW\Documents\..\Firmware\AmplifFilter-App\Core\Common\</v>
      </c>
      <c r="J9" s="3"/>
      <c r="K9" s="9" t="s">
        <v>1</v>
      </c>
      <c r="L9" s="8" t="s">
        <v>222</v>
      </c>
      <c r="M9" s="11"/>
      <c r="Z9" s="10"/>
    </row>
    <row r="10" spans="1:26" ht="24.95" customHeight="1" x14ac:dyDescent="0.25">
      <c r="D10" s="31" t="s">
        <v>153</v>
      </c>
      <c r="E10" s="13"/>
      <c r="F10" s="31" t="str">
        <f>GetPath()&amp;"\..\Tests\AmplifFilter\"</f>
        <v>C:\Users\marti\Desktop\Jablotron\AMP\FW\Documents\..\Tests\AmplifFilter\</v>
      </c>
      <c r="K10" s="9" t="s">
        <v>154</v>
      </c>
      <c r="L10" s="8" t="s">
        <v>221</v>
      </c>
      <c r="M10" s="11"/>
    </row>
    <row r="11" spans="1:26" ht="24.75" customHeight="1" x14ac:dyDescent="0.25">
      <c r="D11" s="31" t="s">
        <v>155</v>
      </c>
      <c r="F11" s="31" t="str">
        <f>GetPath()&amp;"\..\Software\SBD\RegMap\json.txt"</f>
        <v>C:\Users\marti\Desktop\Jablotron\AMP\FW\Documents\..\Software\SBD\RegMap\json.txt</v>
      </c>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209</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206</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207</v>
      </c>
      <c r="N31" s="29"/>
      <c r="O31" s="29"/>
      <c r="P31" s="29"/>
      <c r="Q31" s="3" t="s">
        <v>205</v>
      </c>
      <c r="R31" s="29"/>
      <c r="S31" s="34"/>
      <c r="T31" t="s">
        <v>208</v>
      </c>
    </row>
    <row r="32" spans="1:20" x14ac:dyDescent="0.25">
      <c r="D32" s="14"/>
      <c r="K32" s="10"/>
      <c r="R32" s="3"/>
    </row>
    <row r="33" spans="1:35"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35"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35"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35"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35" x14ac:dyDescent="0.25">
      <c r="D37" s="14"/>
      <c r="E37" s="11"/>
      <c r="F37" s="14"/>
      <c r="G37" s="5"/>
      <c r="H37" s="18"/>
      <c r="I37" s="14"/>
      <c r="J37" s="14"/>
      <c r="K37" s="10"/>
      <c r="M37"/>
      <c r="O37" s="3"/>
      <c r="P37" s="3"/>
      <c r="R37" s="29"/>
      <c r="T37"/>
    </row>
    <row r="38" spans="1:35"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35"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35"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35"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35" x14ac:dyDescent="0.25">
      <c r="D42" s="15"/>
      <c r="E42" s="2"/>
      <c r="F42" s="5"/>
      <c r="G42" s="5"/>
      <c r="H42" s="18"/>
      <c r="I42" s="14"/>
      <c r="J42" s="14"/>
      <c r="K42" s="10"/>
      <c r="L42" s="3"/>
      <c r="M42"/>
      <c r="R42" s="29"/>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4" customFormat="1" x14ac:dyDescent="0.25">
      <c r="D45" s="40"/>
      <c r="E45" s="2" t="s">
        <v>195</v>
      </c>
      <c r="F45" s="3" t="s">
        <v>196</v>
      </c>
      <c r="G45" s="3" t="s">
        <v>48</v>
      </c>
      <c r="H45" s="3" t="s">
        <v>45</v>
      </c>
      <c r="I45" s="29">
        <v>0</v>
      </c>
      <c r="J45" s="29">
        <v>4</v>
      </c>
      <c r="K45" s="10" t="str">
        <f xml:space="preserve"> IFERROR("0x" &amp; DEC2HEX(VLOOKUP(F45,Common!$C$10:$D$34,2,FALSE),2) &amp; DEC2HEX(I45,3) &amp; DEC2HEX(VLOOKUP(G45,Common!$C$51:$D$55,2,FALSE),1) &amp; DEC2HEX(1+2*VLOOKUP(H45,Common!$C$69:$D$72,2,FALSE),1) &amp; DEC2HEX(IFERROR(LOG(J45,2),0),1),0)</f>
        <v>0x07000112</v>
      </c>
      <c r="L45" s="29" t="str">
        <f>IF(AND(LEN(E45)&lt;&gt;0,S45=""),F45&amp;"_"&amp;UPPER(E45),"")</f>
        <v>DBG_WRITES_CONF</v>
      </c>
      <c r="M45" t="s">
        <v>197</v>
      </c>
      <c r="N45" s="29"/>
      <c r="O45" s="29">
        <v>0</v>
      </c>
      <c r="P45" s="29">
        <v>1000000</v>
      </c>
      <c r="Q45" s="3" t="s">
        <v>198</v>
      </c>
      <c r="R45" s="29"/>
      <c r="S45" s="29"/>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8"/>
      <c r="J48" s="22"/>
      <c r="L48" s="29"/>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3">
        <v>0</v>
      </c>
      <c r="J49" s="29">
        <v>2</v>
      </c>
      <c r="K49" s="10" t="str">
        <f xml:space="preserve"> IFERROR("0x" &amp; DEC2HEX(VLOOKUP(F49,Common!$C$10:$D$34,2,FALSE),2) &amp; DEC2HEX(I49,3) &amp; DEC2HEX(VLOOKUP(G49,Common!$C$51:$D$55,2,FALSE),1) &amp; DEC2HEX(1+2*VLOOKUP(H49,Common!$C$69:$D$72,2,FALSE),1) &amp; DEC2HEX(IFERROR(LOG(J49,2),0),1),0)</f>
        <v>0x04000151</v>
      </c>
      <c r="L49" s="29" t="str">
        <f>IF(AND(LEN(E49)&lt;&gt;0,S49=""),F49&amp;"_"&amp;UPPER(E49),"")</f>
        <v>CALIB_MODE</v>
      </c>
      <c r="M49" t="s">
        <v>201</v>
      </c>
      <c r="N49" s="29">
        <v>0</v>
      </c>
      <c r="O49" s="29">
        <v>0</v>
      </c>
      <c r="P49" s="29">
        <v>24</v>
      </c>
      <c r="Q49" s="29"/>
      <c r="R49" s="29"/>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3">
        <f xml:space="preserve"> I49+J49</f>
        <v>2</v>
      </c>
      <c r="J50" s="29">
        <v>2</v>
      </c>
      <c r="K50" s="10" t="str">
        <f xml:space="preserve"> IFERROR("0x" &amp; DEC2HEX(VLOOKUP(F50,Common!$C$10:$D$34,2,FALSE),2) &amp; DEC2HEX(I50,3) &amp; DEC2HEX(VLOOKUP(G50,Common!$C$51:$D$55,2,FALSE),1) &amp; DEC2HEX(1+2*VLOOKUP(H50,Common!$C$69:$D$72,2,FALSE),1) &amp; DEC2HEX(IFERROR(LOG(J50,2),0),1),0)</f>
        <v>0x04002151</v>
      </c>
      <c r="L50" s="29" t="str">
        <f t="shared" ref="L50" si="2">IF(AND(LEN(E50)&lt;&gt;0,S50=""),F50&amp;"_"&amp;UPPER(E50),"")</f>
        <v>CALIB_RESERVED</v>
      </c>
      <c r="M50" t="s">
        <v>89</v>
      </c>
      <c r="N50" s="29"/>
      <c r="O50" s="29"/>
      <c r="P50" s="29"/>
      <c r="Q50" s="29"/>
      <c r="R50" s="29"/>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8"/>
      <c r="J51" s="22"/>
      <c r="L51" s="29"/>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8"/>
      <c r="J52" s="22"/>
      <c r="L52" s="29"/>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8"/>
      <c r="J53" s="22"/>
      <c r="L53" s="29"/>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223</v>
      </c>
      <c r="G54" s="3" t="s">
        <v>114</v>
      </c>
      <c r="H54" s="3" t="s">
        <v>50</v>
      </c>
      <c r="I54" s="33">
        <f xml:space="preserve"> I53+J53</f>
        <v>0</v>
      </c>
      <c r="J54" s="29">
        <v>1</v>
      </c>
      <c r="K54" s="10" t="str">
        <f xml:space="preserve"> IFERROR("0x" &amp; DEC2HEX(VLOOKUP(F54,Common!$C$10:$D$34,2,FALSE),2) &amp; DEC2HEX(I54,3) &amp; DEC2HEX(VLOOKUP(G54,Common!$C$51:$D$55,2,FALSE),1) &amp; DEC2HEX(1+2*VLOOKUP(H54,Common!$C$69:$D$72,2,FALSE),1) &amp; DEC2HEX(IFERROR(LOG(J54,2),0),1),0)</f>
        <v>0x05000550</v>
      </c>
      <c r="L54" s="29" t="str">
        <f t="shared" ref="L54" si="3">IF(AND(LEN(E54)&lt;&gt;0,S54=""),F54&amp;"_"&amp;UPPER(E54),"")</f>
        <v>MEAS_ENABLE</v>
      </c>
      <c r="M54" t="s">
        <v>211</v>
      </c>
      <c r="N54" s="29">
        <v>1</v>
      </c>
      <c r="O54" s="29">
        <v>0</v>
      </c>
      <c r="P54" s="29">
        <v>1</v>
      </c>
      <c r="Q54" s="29"/>
      <c r="R54" s="3" t="s">
        <v>212</v>
      </c>
      <c r="S54" s="34"/>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223</v>
      </c>
      <c r="G55" s="3"/>
      <c r="H55" s="3"/>
      <c r="I55" s="33">
        <f t="shared" ref="I55:I66" si="4" xml:space="preserve"> I54+J54</f>
        <v>1</v>
      </c>
      <c r="J55" s="29"/>
      <c r="K55" s="10">
        <f xml:space="preserve"> IFERROR("0x" &amp; DEC2HEX(VLOOKUP(F55,Common!$C$10:$D$34,2,FALSE),2) &amp; DEC2HEX(I55,3) &amp; DEC2HEX(VLOOKUP(G55,Common!$C$51:$D$55,2,FALSE),1) &amp; DEC2HEX(1+2*VLOOKUP(H55,Common!$C$69:$D$72,2,FALSE),1) &amp; DEC2HEX(IFERROR(LOG(J55,2),0),1),0)</f>
        <v>0</v>
      </c>
      <c r="L55" s="3" t="s">
        <v>214</v>
      </c>
      <c r="M55" t="s">
        <v>215</v>
      </c>
      <c r="N55" s="29"/>
      <c r="O55" s="29"/>
      <c r="P55" s="29"/>
      <c r="Q55" s="29"/>
      <c r="R55" s="3"/>
      <c r="S55" s="34"/>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223</v>
      </c>
      <c r="G56" s="3"/>
      <c r="H56" s="3"/>
      <c r="I56" s="33">
        <f t="shared" si="4"/>
        <v>1</v>
      </c>
      <c r="J56" s="29"/>
      <c r="K56" s="10">
        <f xml:space="preserve"> IFERROR("0x" &amp; DEC2HEX(VLOOKUP(F56,Common!$C$10:$D$34,2,FALSE),2) &amp; DEC2HEX(I56,3) &amp; DEC2HEX(VLOOKUP(G56,Common!$C$51:$D$55,2,FALSE),1) &amp; DEC2HEX(1+2*VLOOKUP(H56,Common!$C$69:$D$72,2,FALSE),1) &amp; DEC2HEX(IFERROR(LOG(J56,2),0),1),0)</f>
        <v>0</v>
      </c>
      <c r="L56" s="3" t="s">
        <v>217</v>
      </c>
      <c r="M56" t="s">
        <v>218</v>
      </c>
      <c r="N56" s="29"/>
      <c r="O56" s="29"/>
      <c r="P56" s="29"/>
      <c r="Q56" s="29"/>
      <c r="R56" s="3"/>
      <c r="S56" s="34"/>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223</v>
      </c>
      <c r="G57" s="3" t="s">
        <v>114</v>
      </c>
      <c r="H57" s="3" t="s">
        <v>50</v>
      </c>
      <c r="I57" s="33">
        <f t="shared" si="4"/>
        <v>1</v>
      </c>
      <c r="J57" s="29">
        <v>1</v>
      </c>
      <c r="K57" s="10" t="str">
        <f xml:space="preserve"> IFERROR("0x" &amp; DEC2HEX(VLOOKUP(F57,Common!$C$10:$D$34,2,FALSE),2) &amp; DEC2HEX(I57,3) &amp; DEC2HEX(VLOOKUP(G57,Common!$C$51:$D$55,2,FALSE),1) &amp; DEC2HEX(1+2*VLOOKUP(H57,Common!$C$69:$D$72,2,FALSE),1) &amp; DEC2HEX(IFERROR(LOG(J57,2),0),1),0)</f>
        <v>0x05001550</v>
      </c>
      <c r="L57" s="29" t="str">
        <f t="shared" ref="L57" si="5">IF(AND(LEN(E57)&lt;&gt;0,S57=""),F57&amp;"_"&amp;UPPER(E57),"")</f>
        <v>MEAS_MODE</v>
      </c>
      <c r="M57" t="s">
        <v>228</v>
      </c>
      <c r="N57" s="29">
        <v>0</v>
      </c>
      <c r="O57" s="29"/>
      <c r="P57" s="29"/>
      <c r="Q57" s="29"/>
      <c r="R57" s="29"/>
      <c r="S57" s="34"/>
      <c r="T57" t="s">
        <v>248</v>
      </c>
      <c r="U57"/>
      <c r="V57"/>
      <c r="W57"/>
      <c r="X57"/>
      <c r="Y57"/>
      <c r="Z57" s="12"/>
      <c r="AA57" s="12"/>
      <c r="AB57" s="12"/>
      <c r="AC57" s="12"/>
      <c r="AD57" s="12"/>
      <c r="AE57" s="12"/>
      <c r="AF57" s="12"/>
      <c r="AG57" s="12"/>
      <c r="AH57" s="12"/>
      <c r="AI57" s="12"/>
    </row>
    <row r="58" spans="1:35" s="10" customFormat="1" x14ac:dyDescent="0.25">
      <c r="A58" s="12"/>
      <c r="B58" s="12"/>
      <c r="C58" s="12"/>
      <c r="D58"/>
      <c r="E58"/>
      <c r="F58" s="3" t="s">
        <v>223</v>
      </c>
      <c r="G58" s="3"/>
      <c r="H58" s="3"/>
      <c r="I58" s="33">
        <f t="shared" si="4"/>
        <v>2</v>
      </c>
      <c r="J58" s="29"/>
      <c r="L58" s="3" t="s">
        <v>226</v>
      </c>
      <c r="M58" t="s">
        <v>237</v>
      </c>
      <c r="N58" s="29"/>
      <c r="O58" s="29"/>
      <c r="P58" s="29"/>
      <c r="Q58" s="29"/>
      <c r="R58" s="29"/>
      <c r="S58" s="34"/>
      <c r="T58" t="s">
        <v>249</v>
      </c>
      <c r="U58"/>
      <c r="V58"/>
      <c r="W58"/>
      <c r="X58"/>
      <c r="Y58"/>
      <c r="Z58" s="12"/>
      <c r="AA58" s="12"/>
      <c r="AB58" s="12"/>
      <c r="AC58" s="12"/>
      <c r="AD58" s="12"/>
      <c r="AE58" s="12"/>
      <c r="AF58" s="12"/>
      <c r="AG58" s="12"/>
      <c r="AH58" s="12"/>
      <c r="AI58" s="12"/>
    </row>
    <row r="59" spans="1:35" s="10" customFormat="1" x14ac:dyDescent="0.25">
      <c r="A59" s="12"/>
      <c r="B59" s="12"/>
      <c r="C59" s="12"/>
      <c r="D59"/>
      <c r="E59"/>
      <c r="F59" s="3" t="s">
        <v>223</v>
      </c>
      <c r="G59" s="3"/>
      <c r="H59" s="3"/>
      <c r="I59" s="33">
        <f t="shared" si="4"/>
        <v>2</v>
      </c>
      <c r="J59" s="29"/>
      <c r="L59" s="3" t="s">
        <v>227</v>
      </c>
      <c r="M59" t="s">
        <v>239</v>
      </c>
      <c r="N59" s="29"/>
      <c r="O59" s="29"/>
      <c r="P59" s="29"/>
      <c r="Q59" s="29"/>
      <c r="R59" s="29"/>
      <c r="S59" s="34"/>
      <c r="T59" t="s">
        <v>250</v>
      </c>
      <c r="U59"/>
      <c r="V59"/>
      <c r="W59"/>
      <c r="X59"/>
      <c r="Y59"/>
      <c r="Z59" s="12"/>
      <c r="AA59" s="12"/>
      <c r="AB59" s="12"/>
      <c r="AC59" s="12"/>
      <c r="AD59" s="12"/>
      <c r="AE59" s="12"/>
      <c r="AF59" s="12"/>
      <c r="AG59" s="12"/>
      <c r="AH59" s="12"/>
      <c r="AI59" s="12"/>
    </row>
    <row r="60" spans="1:35" s="10" customFormat="1" x14ac:dyDescent="0.25">
      <c r="A60" s="12"/>
      <c r="B60" s="12"/>
      <c r="C60" s="12"/>
      <c r="D60"/>
      <c r="E60" t="s">
        <v>233</v>
      </c>
      <c r="F60" s="3" t="s">
        <v>223</v>
      </c>
      <c r="G60" s="3" t="s">
        <v>114</v>
      </c>
      <c r="H60" s="3" t="s">
        <v>50</v>
      </c>
      <c r="I60" s="33">
        <f t="shared" ref="I60:I64" si="6" xml:space="preserve"> I59+J59</f>
        <v>2</v>
      </c>
      <c r="J60" s="29">
        <v>1</v>
      </c>
      <c r="K60" s="10" t="str">
        <f xml:space="preserve"> IFERROR("0x" &amp; DEC2HEX(VLOOKUP(F60,Common!$C$10:$D$34,2,FALSE),2) &amp; DEC2HEX(I60,3) &amp; DEC2HEX(VLOOKUP(G60,Common!$C$51:$D$55,2,FALSE),1) &amp; DEC2HEX(1+2*VLOOKUP(H60,Common!$C$69:$D$72,2,FALSE),1) &amp; DEC2HEX(IFERROR(LOG(J60,2),0),1),0)</f>
        <v>0x05002550</v>
      </c>
      <c r="L60" s="29" t="str">
        <f t="shared" ref="L60" si="7">IF(AND(LEN(E60)&lt;&gt;0,S60=""),F60&amp;"_"&amp;UPPER(E60),"")</f>
        <v>MEAS_TRIGGER</v>
      </c>
      <c r="M60" t="s">
        <v>240</v>
      </c>
      <c r="N60" s="29">
        <v>0</v>
      </c>
      <c r="O60" s="29"/>
      <c r="P60" s="29"/>
      <c r="Q60" s="29"/>
      <c r="R60" s="29"/>
      <c r="S60" s="34"/>
      <c r="T60" t="s">
        <v>240</v>
      </c>
      <c r="U60"/>
      <c r="V60"/>
      <c r="W60"/>
      <c r="X60"/>
      <c r="Y60"/>
      <c r="Z60" s="12"/>
      <c r="AA60" s="12"/>
      <c r="AB60" s="12"/>
      <c r="AC60" s="12"/>
      <c r="AD60" s="12"/>
      <c r="AE60" s="12"/>
      <c r="AF60" s="12"/>
      <c r="AG60" s="12"/>
      <c r="AH60" s="12"/>
      <c r="AI60" s="12"/>
    </row>
    <row r="61" spans="1:35" s="10" customFormat="1" x14ac:dyDescent="0.25">
      <c r="A61" s="12"/>
      <c r="B61" s="12"/>
      <c r="C61" s="12"/>
      <c r="D61"/>
      <c r="E61"/>
      <c r="F61" s="3" t="s">
        <v>223</v>
      </c>
      <c r="G61" s="3"/>
      <c r="H61" s="3"/>
      <c r="I61" s="33">
        <f t="shared" si="6"/>
        <v>3</v>
      </c>
      <c r="J61" s="29"/>
      <c r="L61" s="29" t="s">
        <v>234</v>
      </c>
      <c r="M61" t="s">
        <v>241</v>
      </c>
      <c r="N61" s="29"/>
      <c r="O61" s="29"/>
      <c r="P61" s="29"/>
      <c r="Q61" s="29"/>
      <c r="R61" s="29"/>
      <c r="S61" s="34"/>
      <c r="T61" t="s">
        <v>251</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223</v>
      </c>
      <c r="G62" s="3"/>
      <c r="H62" s="3"/>
      <c r="I62" s="33">
        <f t="shared" si="6"/>
        <v>3</v>
      </c>
      <c r="J62" s="29"/>
      <c r="L62" s="3" t="s">
        <v>235</v>
      </c>
      <c r="M62" t="s">
        <v>246</v>
      </c>
      <c r="N62" s="29"/>
      <c r="O62" s="29"/>
      <c r="P62" s="29"/>
      <c r="Q62" s="29"/>
      <c r="R62" s="29"/>
      <c r="S62" s="34"/>
      <c r="T62" t="s">
        <v>252</v>
      </c>
      <c r="U62"/>
      <c r="V62"/>
      <c r="W62"/>
      <c r="X62"/>
      <c r="Y62"/>
      <c r="Z62" s="12"/>
      <c r="AA62" s="12"/>
      <c r="AB62" s="12"/>
      <c r="AC62" s="12"/>
      <c r="AD62" s="12"/>
      <c r="AE62" s="12"/>
      <c r="AF62" s="12"/>
      <c r="AG62" s="12"/>
      <c r="AH62" s="12"/>
      <c r="AI62" s="12"/>
    </row>
    <row r="63" spans="1:35" s="10" customFormat="1" x14ac:dyDescent="0.25">
      <c r="A63" s="12"/>
      <c r="B63" s="12"/>
      <c r="C63" s="12"/>
      <c r="D63"/>
      <c r="E63"/>
      <c r="F63" s="3" t="s">
        <v>223</v>
      </c>
      <c r="G63" s="3"/>
      <c r="H63" s="3"/>
      <c r="I63" s="33">
        <f t="shared" si="6"/>
        <v>3</v>
      </c>
      <c r="J63" s="29"/>
      <c r="L63" s="3" t="s">
        <v>236</v>
      </c>
      <c r="M63" t="s">
        <v>247</v>
      </c>
      <c r="N63" s="29"/>
      <c r="O63" s="29"/>
      <c r="P63" s="29"/>
      <c r="Q63" s="29"/>
      <c r="R63" s="29"/>
      <c r="S63" s="34"/>
      <c r="T63" t="s">
        <v>253</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223</v>
      </c>
      <c r="G64" s="3" t="s">
        <v>48</v>
      </c>
      <c r="H64" s="3" t="s">
        <v>50</v>
      </c>
      <c r="I64" s="33">
        <f t="shared" si="6"/>
        <v>3</v>
      </c>
      <c r="J64" s="29">
        <v>1</v>
      </c>
      <c r="K64" s="10" t="str">
        <f xml:space="preserve"> IFERROR("0x" &amp; DEC2HEX(VLOOKUP(F64,Common!$C$10:$D$34,2,FALSE),2) &amp; DEC2HEX(I64,3) &amp; DEC2HEX(VLOOKUP(G64,Common!$C$51:$D$55,2,FALSE),1) &amp; DEC2HEX(1+2*VLOOKUP(H64,Common!$C$69:$D$72,2,FALSE),1) &amp; DEC2HEX(IFERROR(LOG(J64,2),0),1),0)</f>
        <v>0x05003150</v>
      </c>
      <c r="L64" s="29" t="str">
        <f t="shared" ref="L64:L69" si="8">IF(AND(LEN(E64)&lt;&gt;0,S64=""),F64&amp;"_"&amp;UPPER(E64),"")</f>
        <v>MEAS_RESERVED</v>
      </c>
      <c r="M64" t="s">
        <v>242</v>
      </c>
      <c r="N64" s="29"/>
      <c r="O64" s="29"/>
      <c r="P64" s="29"/>
      <c r="Q64" s="29"/>
      <c r="R64" s="3"/>
      <c r="S64" s="34"/>
      <c r="T64"/>
      <c r="U64"/>
      <c r="V64"/>
      <c r="W64"/>
      <c r="X64"/>
      <c r="Y64"/>
      <c r="Z64" s="12"/>
      <c r="AA64" s="12"/>
      <c r="AB64" s="12"/>
      <c r="AC64" s="12"/>
      <c r="AD64" s="12"/>
      <c r="AE64" s="12"/>
      <c r="AF64" s="12"/>
      <c r="AG64" s="12"/>
      <c r="AH64" s="12"/>
      <c r="AI64" s="12"/>
    </row>
    <row r="65" spans="1:35" s="10" customFormat="1" x14ac:dyDescent="0.25">
      <c r="A65" s="12"/>
      <c r="B65" s="12"/>
      <c r="C65" s="12"/>
      <c r="D65"/>
      <c r="E65" t="s">
        <v>229</v>
      </c>
      <c r="F65" s="3" t="s">
        <v>223</v>
      </c>
      <c r="G65" s="3" t="s">
        <v>49</v>
      </c>
      <c r="H65" s="3" t="s">
        <v>45</v>
      </c>
      <c r="I65" s="33">
        <f t="shared" si="4"/>
        <v>4</v>
      </c>
      <c r="J65" s="29">
        <v>4</v>
      </c>
      <c r="K65" s="10" t="str">
        <f xml:space="preserve"> IFERROR("0x" &amp; DEC2HEX(VLOOKUP(F65,Common!$C$10:$D$34,2,FALSE),2) &amp; DEC2HEX(I65,3) &amp; DEC2HEX(VLOOKUP(G65,Common!$C$51:$D$55,2,FALSE),1) &amp; DEC2HEX(1+2*VLOOKUP(H65,Common!$C$69:$D$72,2,FALSE),1) &amp; DEC2HEX(IFERROR(LOG(J65,2),0),1),0)</f>
        <v>0x05004212</v>
      </c>
      <c r="L65" s="29" t="str">
        <f t="shared" si="8"/>
        <v>MEAS_RAW</v>
      </c>
      <c r="M65" t="s">
        <v>237</v>
      </c>
      <c r="N65" s="29"/>
      <c r="O65" s="29">
        <v>-10</v>
      </c>
      <c r="P65" s="3">
        <v>10</v>
      </c>
      <c r="Q65" s="29" t="s">
        <v>245</v>
      </c>
      <c r="R65" s="29"/>
      <c r="S65" s="29"/>
      <c r="T65" t="s">
        <v>254</v>
      </c>
      <c r="U65"/>
      <c r="V65"/>
      <c r="W65"/>
      <c r="X65"/>
      <c r="Y65"/>
      <c r="Z65" s="12"/>
      <c r="AA65" s="12"/>
      <c r="AB65" s="12"/>
      <c r="AC65" s="12"/>
      <c r="AD65" s="12"/>
      <c r="AE65" s="12"/>
      <c r="AF65" s="12"/>
      <c r="AG65" s="12"/>
      <c r="AH65" s="12"/>
      <c r="AI65" s="12"/>
    </row>
    <row r="66" spans="1:35" s="10" customFormat="1" x14ac:dyDescent="0.25">
      <c r="A66" s="12"/>
      <c r="B66" s="12"/>
      <c r="C66" s="12"/>
      <c r="D66"/>
      <c r="E66" t="s">
        <v>230</v>
      </c>
      <c r="F66" s="3" t="s">
        <v>223</v>
      </c>
      <c r="G66" s="3" t="s">
        <v>49</v>
      </c>
      <c r="H66" s="3" t="s">
        <v>45</v>
      </c>
      <c r="I66" s="33">
        <f t="shared" si="4"/>
        <v>8</v>
      </c>
      <c r="J66" s="29">
        <v>4</v>
      </c>
      <c r="K66" s="10" t="str">
        <f xml:space="preserve"> IFERROR("0x" &amp; DEC2HEX(VLOOKUP(F66,Common!$C$10:$D$34,2,FALSE),2) &amp; DEC2HEX(I66,3) &amp; DEC2HEX(VLOOKUP(G66,Common!$C$51:$D$55,2,FALSE),1) &amp; DEC2HEX(1+2*VLOOKUP(H66,Common!$C$69:$D$72,2,FALSE),1) &amp; DEC2HEX(IFERROR(LOG(J66,2),0),1),0)</f>
        <v>0x05008212</v>
      </c>
      <c r="L66" s="29" t="str">
        <f t="shared" si="8"/>
        <v>MEAS_AVERAGE</v>
      </c>
      <c r="M66" t="s">
        <v>238</v>
      </c>
      <c r="N66" s="29"/>
      <c r="O66" s="29">
        <v>-10</v>
      </c>
      <c r="P66" s="3">
        <v>10</v>
      </c>
      <c r="Q66" s="29" t="s">
        <v>245</v>
      </c>
      <c r="R66" s="29"/>
      <c r="S66" s="29"/>
      <c r="T66" t="s">
        <v>255</v>
      </c>
      <c r="U66"/>
      <c r="V66"/>
      <c r="W66"/>
      <c r="X66"/>
      <c r="Y66"/>
      <c r="Z66" s="12"/>
      <c r="AA66" s="12"/>
      <c r="AB66" s="12"/>
      <c r="AC66" s="12"/>
      <c r="AD66" s="12"/>
      <c r="AE66" s="12"/>
      <c r="AF66" s="12"/>
      <c r="AG66" s="12"/>
      <c r="AH66" s="12"/>
      <c r="AI66" s="12"/>
    </row>
    <row r="67" spans="1:35" s="10" customFormat="1" x14ac:dyDescent="0.25">
      <c r="A67" s="12"/>
      <c r="B67" s="12"/>
      <c r="C67" s="12"/>
      <c r="D67"/>
      <c r="E67" t="s">
        <v>231</v>
      </c>
      <c r="F67" s="3" t="s">
        <v>223</v>
      </c>
      <c r="G67" s="3" t="s">
        <v>49</v>
      </c>
      <c r="H67" s="3" t="s">
        <v>50</v>
      </c>
      <c r="I67" s="33">
        <f t="shared" ref="I67:I68" si="9" xml:space="preserve"> I66+J66</f>
        <v>12</v>
      </c>
      <c r="J67" s="29">
        <v>4</v>
      </c>
      <c r="K67" s="10" t="str">
        <f xml:space="preserve"> IFERROR("0x" &amp; DEC2HEX(VLOOKUP(F67,Common!$C$10:$D$34,2,FALSE),2) &amp; DEC2HEX(I67,3) &amp; DEC2HEX(VLOOKUP(G67,Common!$C$51:$D$55,2,FALSE),1) &amp; DEC2HEX(1+2*VLOOKUP(H67,Common!$C$69:$D$72,2,FALSE),1) &amp; DEC2HEX(IFERROR(LOG(J67,2),0),1),0)</f>
        <v>0x0500C252</v>
      </c>
      <c r="L67" s="29" t="str">
        <f t="shared" si="8"/>
        <v>MEAS_THRESHLOD</v>
      </c>
      <c r="M67" t="s">
        <v>243</v>
      </c>
      <c r="N67" s="29">
        <v>0</v>
      </c>
      <c r="O67" s="29">
        <v>-10</v>
      </c>
      <c r="P67" s="3">
        <v>10</v>
      </c>
      <c r="Q67" s="29" t="s">
        <v>245</v>
      </c>
      <c r="R67" s="29"/>
      <c r="S67" s="29"/>
      <c r="T67" t="s">
        <v>256</v>
      </c>
      <c r="U67"/>
      <c r="V67"/>
      <c r="W67"/>
      <c r="X67"/>
      <c r="Y67"/>
      <c r="Z67" s="12"/>
      <c r="AA67" s="12"/>
      <c r="AB67" s="12"/>
      <c r="AC67" s="12"/>
      <c r="AD67" s="12"/>
      <c r="AE67" s="12"/>
      <c r="AF67" s="12"/>
      <c r="AG67" s="12"/>
      <c r="AH67" s="12"/>
      <c r="AI67" s="12"/>
    </row>
    <row r="68" spans="1:35" s="10" customFormat="1" x14ac:dyDescent="0.25">
      <c r="A68" s="12"/>
      <c r="B68" s="12"/>
      <c r="C68" s="12"/>
      <c r="D68"/>
      <c r="E68" t="s">
        <v>232</v>
      </c>
      <c r="F68" s="3" t="s">
        <v>223</v>
      </c>
      <c r="G68" s="3" t="s">
        <v>49</v>
      </c>
      <c r="H68" s="3" t="s">
        <v>50</v>
      </c>
      <c r="I68" s="33">
        <f t="shared" si="9"/>
        <v>16</v>
      </c>
      <c r="J68" s="29">
        <v>4</v>
      </c>
      <c r="K68" s="10" t="str">
        <f xml:space="preserve"> IFERROR("0x" &amp; DEC2HEX(VLOOKUP(F68,Common!$C$10:$D$34,2,FALSE),2) &amp; DEC2HEX(I68,3) &amp; DEC2HEX(VLOOKUP(G68,Common!$C$51:$D$55,2,FALSE),1) &amp; DEC2HEX(1+2*VLOOKUP(H68,Common!$C$69:$D$72,2,FALSE),1) &amp; DEC2HEX(IFERROR(LOG(J68,2),0),1),0)</f>
        <v>0x05010252</v>
      </c>
      <c r="L68" s="29" t="str">
        <f t="shared" si="8"/>
        <v>MEAS_HYSTERESIS</v>
      </c>
      <c r="M68" t="s">
        <v>244</v>
      </c>
      <c r="N68" s="29">
        <v>0</v>
      </c>
      <c r="O68" s="29">
        <v>0</v>
      </c>
      <c r="P68" s="3">
        <v>10</v>
      </c>
      <c r="Q68" s="29" t="s">
        <v>245</v>
      </c>
      <c r="R68" s="29"/>
      <c r="S68" s="29"/>
      <c r="T68" t="s">
        <v>257</v>
      </c>
      <c r="U68"/>
      <c r="V68"/>
      <c r="W68"/>
      <c r="X68"/>
      <c r="Y68"/>
      <c r="Z68" s="12"/>
      <c r="AA68" s="12"/>
      <c r="AB68" s="12"/>
      <c r="AC68" s="12"/>
      <c r="AD68" s="12"/>
      <c r="AE68" s="12"/>
      <c r="AF68" s="12"/>
      <c r="AG68" s="12"/>
      <c r="AH68" s="12"/>
      <c r="AI68" s="12"/>
    </row>
    <row r="69" spans="1:35" s="10" customFormat="1" x14ac:dyDescent="0.25">
      <c r="A69" s="12"/>
      <c r="B69" s="12"/>
      <c r="C69" s="12"/>
      <c r="D69"/>
      <c r="E69" t="s">
        <v>258</v>
      </c>
      <c r="F69" s="3" t="s">
        <v>223</v>
      </c>
      <c r="G69" s="3" t="s">
        <v>114</v>
      </c>
      <c r="H69" s="3" t="s">
        <v>47</v>
      </c>
      <c r="I69" s="33">
        <v>20</v>
      </c>
      <c r="J69" s="29">
        <v>1</v>
      </c>
      <c r="K69" s="10" t="str">
        <f xml:space="preserve"> IFERROR("0x" &amp; DEC2HEX(VLOOKUP(F69,Common!$C$10:$D$34,2,FALSE),2) &amp; DEC2HEX(I69,3) &amp; DEC2HEX(VLOOKUP(G69,Common!$C$51:$D$55,2,FALSE),1) &amp; DEC2HEX(1+2*VLOOKUP(H69,Common!$C$69:$D$72,2,FALSE),1) &amp; DEC2HEX(IFERROR(LOG(J69,2),0),1),0)</f>
        <v>0x05014570</v>
      </c>
      <c r="L69" s="3" t="str">
        <f t="shared" si="8"/>
        <v>MEAS_GAIN</v>
      </c>
      <c r="M69" t="s">
        <v>259</v>
      </c>
      <c r="N69" s="29">
        <v>0</v>
      </c>
      <c r="O69" s="29">
        <v>0</v>
      </c>
      <c r="P69" s="3">
        <v>3</v>
      </c>
      <c r="Q69" s="29"/>
      <c r="R69" s="29"/>
      <c r="S69" s="29"/>
      <c r="T69" t="s">
        <v>280</v>
      </c>
      <c r="U69"/>
      <c r="V69"/>
      <c r="W69"/>
      <c r="X69"/>
      <c r="Y69"/>
      <c r="Z69" s="12"/>
      <c r="AA69" s="12"/>
      <c r="AB69" s="12"/>
      <c r="AC69" s="12"/>
      <c r="AD69" s="12"/>
      <c r="AE69" s="12"/>
      <c r="AF69" s="12"/>
      <c r="AG69" s="12"/>
      <c r="AH69" s="12"/>
      <c r="AI69" s="12"/>
    </row>
    <row r="70" spans="1:35" s="10" customFormat="1" x14ac:dyDescent="0.25">
      <c r="A70" s="12"/>
      <c r="B70" s="12"/>
      <c r="C70" s="12"/>
      <c r="D70"/>
      <c r="E70"/>
      <c r="F70" s="3" t="s">
        <v>223</v>
      </c>
      <c r="G70" s="3"/>
      <c r="H70" s="3"/>
      <c r="I70" s="33">
        <v>21</v>
      </c>
      <c r="J70" s="29"/>
      <c r="K70" s="10">
        <f xml:space="preserve"> IFERROR("0x" &amp; DEC2HEX(VLOOKUP(F70,Common!$C$10:$D$34,2,FALSE),2) &amp; DEC2HEX(I70,3) &amp; DEC2HEX(VLOOKUP(G70,Common!$C$51:$D$55,2,FALSE),1) &amp; DEC2HEX(1+2*VLOOKUP(H70,Common!$C$69:$D$72,2,FALSE),1) &amp; DEC2HEX(IFERROR(LOG(J70,2),0),1),0)</f>
        <v>0</v>
      </c>
      <c r="L70" s="3" t="s">
        <v>260</v>
      </c>
      <c r="M70" t="s">
        <v>264</v>
      </c>
      <c r="N70" s="29"/>
      <c r="O70" s="29"/>
      <c r="P70" s="3"/>
      <c r="Q70" s="29"/>
      <c r="R70" s="29"/>
      <c r="S70" s="29"/>
      <c r="T70"/>
      <c r="U70"/>
      <c r="V70"/>
      <c r="W70"/>
      <c r="X70"/>
      <c r="Y70"/>
      <c r="Z70" s="12"/>
      <c r="AA70" s="12"/>
      <c r="AB70" s="12"/>
      <c r="AC70" s="12"/>
      <c r="AD70" s="12"/>
      <c r="AE70" s="12"/>
      <c r="AF70" s="12"/>
      <c r="AG70" s="12"/>
      <c r="AH70" s="12"/>
      <c r="AI70" s="12"/>
    </row>
    <row r="71" spans="1:35" s="10" customFormat="1" x14ac:dyDescent="0.25">
      <c r="A71" s="12"/>
      <c r="B71" s="12"/>
      <c r="C71" s="12"/>
      <c r="D71"/>
      <c r="E71"/>
      <c r="F71" s="3" t="s">
        <v>223</v>
      </c>
      <c r="G71" s="3"/>
      <c r="H71" s="3"/>
      <c r="I71" s="33">
        <v>21</v>
      </c>
      <c r="J71" s="29"/>
      <c r="K71" s="10">
        <f xml:space="preserve"> IFERROR("0x" &amp; DEC2HEX(VLOOKUP(F71,Common!$C$10:$D$34,2,FALSE),2) &amp; DEC2HEX(I71,3) &amp; DEC2HEX(VLOOKUP(G71,Common!$C$51:$D$55,2,FALSE),1) &amp; DEC2HEX(1+2*VLOOKUP(H71,Common!$C$69:$D$72,2,FALSE),1) &amp; DEC2HEX(IFERROR(LOG(J71,2),0),1),0)</f>
        <v>0</v>
      </c>
      <c r="L71" s="3" t="s">
        <v>261</v>
      </c>
      <c r="M71" t="s">
        <v>265</v>
      </c>
      <c r="N71" s="29"/>
      <c r="O71" s="29"/>
      <c r="P71" s="3"/>
      <c r="Q71" s="29"/>
      <c r="R71" s="29"/>
      <c r="S71" s="29"/>
      <c r="T71"/>
      <c r="U71"/>
      <c r="V71"/>
      <c r="W71"/>
      <c r="X71"/>
      <c r="Y71"/>
      <c r="Z71" s="12"/>
      <c r="AA71" s="12"/>
      <c r="AB71" s="12"/>
      <c r="AC71" s="12"/>
      <c r="AD71" s="12"/>
      <c r="AE71" s="12"/>
      <c r="AF71" s="12"/>
      <c r="AG71" s="12"/>
      <c r="AH71" s="12"/>
      <c r="AI71" s="12"/>
    </row>
    <row r="72" spans="1:35" s="10" customFormat="1" x14ac:dyDescent="0.25">
      <c r="A72" s="12"/>
      <c r="B72" s="12"/>
      <c r="C72" s="12"/>
      <c r="D72"/>
      <c r="E72"/>
      <c r="F72" s="3" t="s">
        <v>223</v>
      </c>
      <c r="G72" s="3"/>
      <c r="H72" s="3"/>
      <c r="I72" s="33">
        <v>21</v>
      </c>
      <c r="J72" s="29"/>
      <c r="K72" s="10">
        <f xml:space="preserve"> IFERROR("0x" &amp; DEC2HEX(VLOOKUP(F72,Common!$C$10:$D$34,2,FALSE),2) &amp; DEC2HEX(I72,3) &amp; DEC2HEX(VLOOKUP(G72,Common!$C$51:$D$55,2,FALSE),1) &amp; DEC2HEX(1+2*VLOOKUP(H72,Common!$C$69:$D$72,2,FALSE),1) &amp; DEC2HEX(IFERROR(LOG(J72,2),0),1),0)</f>
        <v>0</v>
      </c>
      <c r="L72" s="29" t="s">
        <v>262</v>
      </c>
      <c r="M72" t="s">
        <v>266</v>
      </c>
      <c r="N72" s="29"/>
      <c r="O72" s="29"/>
      <c r="P72" s="29"/>
      <c r="Q72" s="3"/>
      <c r="R72" s="29"/>
      <c r="S72" s="29"/>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t="s">
        <v>223</v>
      </c>
      <c r="G73" s="23"/>
      <c r="H73" s="26"/>
      <c r="I73" s="28">
        <v>21</v>
      </c>
      <c r="J73" s="28"/>
      <c r="K73" s="10">
        <f xml:space="preserve"> IFERROR("0x" &amp; DEC2HEX(VLOOKUP(F73,Common!$C$10:$D$34,2,FALSE),2) &amp; DEC2HEX(I73,3) &amp; DEC2HEX(VLOOKUP(G73,Common!$C$51:$D$55,2,FALSE),1) &amp; DEC2HEX(1+2*VLOOKUP(H73,Common!$C$69:$D$72,2,FALSE),1) &amp; DEC2HEX(IFERROR(LOG(J73,2),0),1),0)</f>
        <v>0</v>
      </c>
      <c r="L73" s="29" t="s">
        <v>263</v>
      </c>
      <c r="M73" s="21" t="s">
        <v>267</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268</v>
      </c>
      <c r="F74" s="23" t="s">
        <v>223</v>
      </c>
      <c r="G74" s="23" t="s">
        <v>48</v>
      </c>
      <c r="H74" s="26" t="s">
        <v>50</v>
      </c>
      <c r="I74" s="28">
        <f>I69+J69</f>
        <v>21</v>
      </c>
      <c r="J74" s="28">
        <v>4</v>
      </c>
      <c r="K74" s="10" t="str">
        <f xml:space="preserve"> IFERROR("0x" &amp; DEC2HEX(VLOOKUP(F74,Common!$C$10:$D$34,2,FALSE),2) &amp; DEC2HEX(I74,3) &amp; DEC2HEX(VLOOKUP(G74,Common!$C$51:$D$55,2,FALSE),1) &amp; DEC2HEX(1+2*VLOOKUP(H74,Common!$C$69:$D$72,2,FALSE),1) &amp; DEC2HEX(IFERROR(LOG(J74,2),0),1),0)</f>
        <v>0x05015152</v>
      </c>
      <c r="L74" s="3" t="str">
        <f>IF(AND(LEN(E74)&lt;&gt;0,S74=""),F74&amp;"_"&amp;UPPER(E74),"")</f>
        <v>MEAS_OFFSET</v>
      </c>
      <c r="M74" s="21" t="s">
        <v>269</v>
      </c>
      <c r="N74" s="22">
        <v>0</v>
      </c>
      <c r="O74" s="22">
        <v>0</v>
      </c>
      <c r="P74" s="22">
        <v>1</v>
      </c>
      <c r="Q74" s="23"/>
      <c r="R74" s="23"/>
      <c r="S74" s="22"/>
      <c r="T74" s="21" t="s">
        <v>270</v>
      </c>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8"/>
      <c r="J75" s="28"/>
      <c r="L75" s="3"/>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277</v>
      </c>
      <c r="F76" s="23" t="s">
        <v>276</v>
      </c>
      <c r="G76" s="23" t="s">
        <v>49</v>
      </c>
      <c r="H76" s="26" t="s">
        <v>50</v>
      </c>
      <c r="I76" s="28">
        <v>0</v>
      </c>
      <c r="J76" s="28">
        <v>4</v>
      </c>
      <c r="K76" s="10" t="str">
        <f xml:space="preserve"> IFERROR("0x" &amp; DEC2HEX(VLOOKUP(F76,Common!$C$10:$D$34,2,FALSE),2) &amp; DEC2HEX(I76,3) &amp; DEC2HEX(VLOOKUP(G76,Common!$C$51:$D$55,2,FALSE),1) &amp; DEC2HEX(1+2*VLOOKUP(H76,Common!$C$69:$D$72,2,FALSE),1) &amp; DEC2HEX(IFERROR(LOG(J76,2),0),1),0)</f>
        <v>0x06000252</v>
      </c>
      <c r="L76" s="3" t="str">
        <f>IF(AND(LEN(E76)&lt;&gt;0,S76=""),F76&amp;"_"&amp;UPPER(E76),"")</f>
        <v>DSP_RMS</v>
      </c>
      <c r="M76" s="21" t="s">
        <v>278</v>
      </c>
      <c r="N76" s="22">
        <v>0</v>
      </c>
      <c r="O76" s="22">
        <v>0</v>
      </c>
      <c r="P76" s="22">
        <v>10</v>
      </c>
      <c r="Q76" s="23" t="s">
        <v>245</v>
      </c>
      <c r="R76" s="23"/>
      <c r="S76" s="22"/>
      <c r="T76" s="21" t="s">
        <v>279</v>
      </c>
      <c r="U76"/>
      <c r="V76"/>
      <c r="W76"/>
      <c r="X76"/>
      <c r="Y76"/>
      <c r="Z76" s="12"/>
      <c r="AA76" s="12"/>
      <c r="AB76" s="12"/>
      <c r="AC76" s="12"/>
      <c r="AD76" s="12"/>
      <c r="AE76" s="12"/>
      <c r="AF76" s="12"/>
      <c r="AG76" s="12"/>
      <c r="AH76" s="12"/>
      <c r="AI76" s="12"/>
    </row>
    <row r="77" spans="1:35" s="10" customFormat="1" x14ac:dyDescent="0.25">
      <c r="A77" s="12"/>
      <c r="B77" s="12"/>
      <c r="C77" s="12"/>
      <c r="D77"/>
      <c r="E77" s="24" t="s">
        <v>281</v>
      </c>
      <c r="F77" s="23" t="s">
        <v>276</v>
      </c>
      <c r="G77" s="23" t="s">
        <v>49</v>
      </c>
      <c r="H77" s="26" t="s">
        <v>50</v>
      </c>
      <c r="I77" s="22">
        <f>I76+J76</f>
        <v>4</v>
      </c>
      <c r="J77" s="22">
        <v>4</v>
      </c>
      <c r="K77" s="10" t="str">
        <f xml:space="preserve"> IFERROR("0x" &amp; DEC2HEX(VLOOKUP(F77,Common!$C$10:$D$34,2,FALSE),2) &amp; DEC2HEX(I77,3) &amp; DEC2HEX(VLOOKUP(G77,Common!$C$51:$D$55,2,FALSE),1) &amp; DEC2HEX(1+2*VLOOKUP(H77,Common!$C$69:$D$72,2,FALSE),1) &amp; DEC2HEX(IFERROR(LOG(J77,2),0),1),0)</f>
        <v>0x06004252</v>
      </c>
      <c r="L77" s="3" t="str">
        <f>IF(AND(LEN(E77)&lt;&gt;0,S77=""),F77&amp;"_"&amp;UPPER(E77),"")</f>
        <v>DSP_MEAN</v>
      </c>
      <c r="M77" s="21" t="s">
        <v>282</v>
      </c>
      <c r="N77" s="22">
        <v>0</v>
      </c>
      <c r="O77" s="22">
        <v>-10</v>
      </c>
      <c r="P77" s="22">
        <v>10</v>
      </c>
      <c r="Q77" s="23" t="s">
        <v>245</v>
      </c>
      <c r="R77" s="23"/>
      <c r="S77" s="22"/>
      <c r="T77" s="21" t="s">
        <v>283</v>
      </c>
      <c r="U77"/>
      <c r="V77"/>
      <c r="W77"/>
      <c r="X77"/>
      <c r="Y77"/>
      <c r="Z77" s="12"/>
      <c r="AA77" s="12"/>
      <c r="AB77" s="12"/>
      <c r="AC77" s="12"/>
      <c r="AD77" s="12"/>
      <c r="AE77" s="12"/>
      <c r="AF77" s="12"/>
      <c r="AG77" s="12"/>
      <c r="AH77" s="12"/>
      <c r="AI77" s="12"/>
    </row>
    <row r="78" spans="1:35" s="10" customFormat="1" x14ac:dyDescent="0.25">
      <c r="A78" s="12"/>
      <c r="B78" s="12"/>
      <c r="C78" s="12"/>
      <c r="D78"/>
      <c r="E78" s="24" t="s">
        <v>286</v>
      </c>
      <c r="F78" s="23" t="s">
        <v>276</v>
      </c>
      <c r="G78" s="57" t="s">
        <v>49</v>
      </c>
      <c r="H78" s="58" t="s">
        <v>50</v>
      </c>
      <c r="I78" s="22">
        <f>I77+J77</f>
        <v>8</v>
      </c>
      <c r="J78" s="22">
        <v>4</v>
      </c>
      <c r="K78" s="10" t="str">
        <f xml:space="preserve"> IFERROR("0x" &amp; DEC2HEX(VLOOKUP(F78,Common!$C$10:$D$34,2,FALSE),2) &amp; DEC2HEX(I78,3) &amp; DEC2HEX(VLOOKUP(G78,Common!$C$51:$D$55,2,FALSE),1) &amp; DEC2HEX(1+2*VLOOKUP(H78,Common!$C$69:$D$72,2,FALSE),1) &amp; DEC2HEX(IFERROR(LOG(J78,2),0),1),0)</f>
        <v>0x06008252</v>
      </c>
      <c r="L78" s="3" t="str">
        <f t="shared" ref="L78:L80" si="10">IF(AND(LEN(E78)&lt;&gt;0,S78=""),F78&amp;"_"&amp;UPPER(E78),"")</f>
        <v>DSP_VAR</v>
      </c>
      <c r="M78" s="24" t="s">
        <v>287</v>
      </c>
      <c r="N78" s="22">
        <v>0</v>
      </c>
      <c r="O78" s="22">
        <v>-10</v>
      </c>
      <c r="P78" s="22">
        <v>10</v>
      </c>
      <c r="Q78" s="57" t="s">
        <v>245</v>
      </c>
      <c r="R78" s="22"/>
      <c r="S78" s="22"/>
      <c r="T78" s="59" t="s">
        <v>288</v>
      </c>
      <c r="U78"/>
      <c r="V78"/>
      <c r="W78"/>
      <c r="X78"/>
      <c r="Y78"/>
      <c r="Z78" s="12"/>
      <c r="AA78" s="12"/>
      <c r="AB78" s="12"/>
      <c r="AC78" s="12"/>
      <c r="AD78" s="12"/>
      <c r="AE78" s="12"/>
      <c r="AF78" s="12"/>
      <c r="AG78" s="12"/>
      <c r="AH78" s="12"/>
      <c r="AI78" s="12"/>
    </row>
    <row r="79" spans="1:35" s="10" customFormat="1" x14ac:dyDescent="0.25">
      <c r="A79" s="12"/>
      <c r="B79" s="12"/>
      <c r="C79" s="12"/>
      <c r="D79"/>
      <c r="E79" s="24" t="s">
        <v>284</v>
      </c>
      <c r="F79" s="23" t="s">
        <v>276</v>
      </c>
      <c r="G79" s="57" t="s">
        <v>49</v>
      </c>
      <c r="H79" s="57" t="s">
        <v>50</v>
      </c>
      <c r="I79" s="22">
        <f>I78+J78</f>
        <v>12</v>
      </c>
      <c r="J79" s="22">
        <v>4</v>
      </c>
      <c r="K79" s="10" t="str">
        <f xml:space="preserve"> IFERROR("0x" &amp; DEC2HEX(VLOOKUP(F79,Common!$C$10:$D$34,2,FALSE),2) &amp; DEC2HEX(I79,3) &amp; DEC2HEX(VLOOKUP(G79,Common!$C$51:$D$55,2,FALSE),1) &amp; DEC2HEX(1+2*VLOOKUP(H79,Common!$C$69:$D$72,2,FALSE),1) &amp; DEC2HEX(IFERROR(LOG(J79,2),0),1),0)</f>
        <v>0x0600C252</v>
      </c>
      <c r="L79" s="3" t="str">
        <f t="shared" si="10"/>
        <v>DSP_STD</v>
      </c>
      <c r="M79" s="21" t="s">
        <v>285</v>
      </c>
      <c r="N79" s="22">
        <v>0</v>
      </c>
      <c r="O79" s="22">
        <v>-10</v>
      </c>
      <c r="P79" s="22">
        <v>10</v>
      </c>
      <c r="Q79" s="57" t="s">
        <v>245</v>
      </c>
      <c r="R79" s="22"/>
      <c r="S79" s="22"/>
      <c r="T79" s="59" t="s">
        <v>289</v>
      </c>
      <c r="U79"/>
      <c r="V79"/>
      <c r="W79"/>
      <c r="X79"/>
      <c r="Y79"/>
      <c r="Z79" s="12"/>
      <c r="AA79" s="12"/>
      <c r="AB79" s="12"/>
      <c r="AC79" s="12"/>
      <c r="AD79" s="12"/>
      <c r="AE79" s="12"/>
      <c r="AF79" s="12"/>
      <c r="AG79" s="12"/>
      <c r="AH79" s="12"/>
      <c r="AI79" s="12"/>
    </row>
    <row r="80" spans="1:35" s="10" customFormat="1" x14ac:dyDescent="0.25">
      <c r="A80" s="12"/>
      <c r="B80" s="12"/>
      <c r="C80" s="12"/>
      <c r="D80"/>
      <c r="E80" s="24" t="s">
        <v>291</v>
      </c>
      <c r="F80" s="23" t="s">
        <v>276</v>
      </c>
      <c r="G80" s="23" t="s">
        <v>49</v>
      </c>
      <c r="H80" s="26" t="s">
        <v>50</v>
      </c>
      <c r="I80" s="22">
        <f>I79+J79</f>
        <v>16</v>
      </c>
      <c r="J80" s="22">
        <v>4</v>
      </c>
      <c r="K80" s="10" t="str">
        <f xml:space="preserve"> IFERROR("0x" &amp; DEC2HEX(VLOOKUP(F80,Common!$C$10:$D$34,2,FALSE),2) &amp; DEC2HEX(I80,3) &amp; DEC2HEX(VLOOKUP(G80,Common!$C$51:$D$55,2,FALSE),1) &amp; DEC2HEX(1+2*VLOOKUP(H80,Common!$C$69:$D$72,2,FALSE),1) &amp; DEC2HEX(IFERROR(LOG(J80,2),0),1),0)</f>
        <v>0x06010252</v>
      </c>
      <c r="L80" s="22" t="str">
        <f t="shared" si="10"/>
        <v>DSP_FIR</v>
      </c>
      <c r="M80" s="24" t="s">
        <v>292</v>
      </c>
      <c r="N80" s="22">
        <v>0</v>
      </c>
      <c r="O80" s="22">
        <v>-10</v>
      </c>
      <c r="P80" s="22">
        <v>10</v>
      </c>
      <c r="Q80" s="57" t="s">
        <v>245</v>
      </c>
      <c r="R80" s="28"/>
      <c r="S80" s="22"/>
      <c r="T80" s="24" t="s">
        <v>293</v>
      </c>
      <c r="U80"/>
      <c r="V80"/>
      <c r="W80"/>
      <c r="X80"/>
      <c r="Y80"/>
      <c r="Z80" s="12"/>
      <c r="AA80" s="12"/>
      <c r="AB80" s="12"/>
      <c r="AC80" s="12"/>
      <c r="AD80" s="12"/>
      <c r="AE80" s="12"/>
      <c r="AF80" s="12"/>
      <c r="AG80" s="12"/>
      <c r="AH80" s="12"/>
      <c r="AI80" s="12"/>
    </row>
    <row r="81" spans="1:35" s="10" customFormat="1" x14ac:dyDescent="0.25">
      <c r="A81" s="12"/>
      <c r="B81" s="12"/>
      <c r="C81" s="12"/>
      <c r="D81"/>
      <c r="E81" s="19"/>
      <c r="F81" s="23"/>
      <c r="G81" s="22"/>
      <c r="H81" s="22"/>
      <c r="I81" s="22"/>
      <c r="J81" s="22"/>
      <c r="K81" s="22"/>
      <c r="L81" s="23"/>
      <c r="M81" s="24"/>
      <c r="N81" s="22"/>
      <c r="O81" s="22"/>
      <c r="P81" s="22"/>
      <c r="Q81" s="22"/>
      <c r="R81" s="28"/>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19"/>
      <c r="F82" s="23"/>
      <c r="G82" s="22"/>
      <c r="H82" s="25"/>
      <c r="I82" s="22"/>
      <c r="J82" s="22"/>
      <c r="K82" s="22"/>
      <c r="L82" s="23"/>
      <c r="M82" s="24"/>
      <c r="N82" s="22"/>
      <c r="O82" s="22"/>
      <c r="P82" s="22"/>
      <c r="Q82" s="22"/>
      <c r="R82" s="28"/>
      <c r="S82" s="22"/>
      <c r="T82" s="24"/>
      <c r="U82"/>
      <c r="V82"/>
      <c r="W82"/>
      <c r="X82"/>
      <c r="Y82"/>
      <c r="Z82" s="12"/>
      <c r="AA82" s="12"/>
      <c r="AB82" s="12"/>
      <c r="AC82" s="12"/>
      <c r="AD82" s="12"/>
      <c r="AE82" s="12"/>
      <c r="AF82" s="12"/>
      <c r="AG82" s="12"/>
      <c r="AH82" s="12"/>
      <c r="AI82" s="12"/>
    </row>
    <row r="83" spans="1:35" s="10" customFormat="1" x14ac:dyDescent="0.25">
      <c r="A83" s="12"/>
      <c r="B83" s="12"/>
      <c r="C83" s="12"/>
      <c r="D83"/>
      <c r="E83" s="19"/>
      <c r="F83" s="23"/>
      <c r="G83" s="22"/>
      <c r="H83" s="22"/>
      <c r="I83" s="22"/>
      <c r="J83" s="22"/>
      <c r="K83" s="22"/>
      <c r="L83" s="23"/>
      <c r="M83" s="24"/>
      <c r="N83" s="22"/>
      <c r="O83" s="22"/>
      <c r="P83" s="22"/>
      <c r="Q83" s="22"/>
      <c r="R83" s="28"/>
      <c r="S83" s="22"/>
      <c r="T83" s="24"/>
      <c r="U83"/>
      <c r="V83"/>
      <c r="W83"/>
      <c r="X83"/>
      <c r="Y83"/>
      <c r="Z83" s="12"/>
      <c r="AA83" s="12"/>
      <c r="AB83" s="12"/>
      <c r="AC83" s="12"/>
      <c r="AD83" s="12"/>
      <c r="AE83" s="12"/>
      <c r="AF83" s="12"/>
      <c r="AG83" s="12"/>
      <c r="AH83" s="12"/>
      <c r="AI83" s="12"/>
    </row>
    <row r="84" spans="1:35" s="10" customFormat="1" x14ac:dyDescent="0.25">
      <c r="A84" s="12"/>
      <c r="B84" s="12"/>
      <c r="C84" s="12"/>
      <c r="D84"/>
      <c r="E84" s="19"/>
      <c r="F84" s="23"/>
      <c r="G84" s="22"/>
      <c r="H84" s="22"/>
      <c r="I84" s="22"/>
      <c r="J84" s="22"/>
      <c r="K84" s="22"/>
      <c r="L84" s="23"/>
      <c r="M84" s="24"/>
      <c r="N84" s="22"/>
      <c r="O84" s="22"/>
      <c r="P84" s="22"/>
      <c r="Q84" s="22"/>
      <c r="R84" s="28"/>
      <c r="S84" s="22"/>
      <c r="T84" s="24"/>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3"/>
      <c r="I85" s="22"/>
      <c r="J85" s="22"/>
      <c r="K85" s="22"/>
      <c r="L85" s="22"/>
      <c r="M85" s="24"/>
      <c r="N85" s="22"/>
      <c r="O85" s="22"/>
      <c r="P85" s="22"/>
      <c r="Q85" s="22"/>
      <c r="R85" s="28"/>
      <c r="S85" s="22"/>
      <c r="T85" s="24"/>
      <c r="U85"/>
      <c r="V85"/>
      <c r="W85"/>
      <c r="X85"/>
      <c r="Y85"/>
      <c r="Z85" s="12"/>
      <c r="AA85" s="12"/>
      <c r="AB85" s="12"/>
      <c r="AC85" s="12"/>
      <c r="AD85" s="12"/>
      <c r="AE85" s="12"/>
      <c r="AF85" s="12"/>
      <c r="AG85" s="12"/>
      <c r="AH85" s="12"/>
      <c r="AI85" s="12"/>
    </row>
    <row r="86" spans="1:35" s="10" customFormat="1" x14ac:dyDescent="0.25">
      <c r="A86" s="12"/>
      <c r="B86" s="12"/>
      <c r="C86" s="12"/>
      <c r="D86"/>
      <c r="E86" s="19"/>
      <c r="F86" s="23"/>
      <c r="G86" s="22"/>
      <c r="H86" s="22"/>
      <c r="I86" s="22"/>
      <c r="J86" s="22"/>
      <c r="K86" s="22"/>
      <c r="L86" s="23"/>
      <c r="M86" s="24"/>
      <c r="N86" s="22"/>
      <c r="O86" s="22"/>
      <c r="P86" s="22"/>
      <c r="Q86" s="22"/>
      <c r="R86" s="28"/>
      <c r="S86" s="22"/>
      <c r="T86" s="24"/>
      <c r="U86"/>
      <c r="V86"/>
      <c r="W86"/>
      <c r="X86"/>
      <c r="Y86"/>
      <c r="Z86" s="12"/>
      <c r="AA86" s="12"/>
      <c r="AB86" s="12"/>
      <c r="AC86" s="12"/>
      <c r="AD86" s="12"/>
      <c r="AE86" s="12"/>
      <c r="AF86" s="12"/>
      <c r="AG86" s="12"/>
      <c r="AH86" s="12"/>
      <c r="AI86" s="12"/>
    </row>
    <row r="87" spans="1:35" s="10" customFormat="1" x14ac:dyDescent="0.25">
      <c r="A87" s="12"/>
      <c r="B87" s="12"/>
      <c r="C87" s="12"/>
      <c r="D87"/>
      <c r="E87" s="19"/>
      <c r="F87" s="23"/>
      <c r="G87" s="22"/>
      <c r="H87" s="22"/>
      <c r="I87" s="22"/>
      <c r="J87" s="22"/>
      <c r="K87" s="22"/>
      <c r="L87" s="23"/>
      <c r="M87" s="21"/>
      <c r="N87" s="22"/>
      <c r="O87" s="22"/>
      <c r="P87" s="22"/>
      <c r="Q87" s="22"/>
      <c r="R87" s="28"/>
      <c r="S87" s="22"/>
      <c r="T87" s="24"/>
      <c r="U87"/>
      <c r="V87"/>
      <c r="W87"/>
      <c r="X87"/>
      <c r="Y87"/>
      <c r="Z87" s="12"/>
      <c r="AA87" s="12"/>
      <c r="AB87" s="12"/>
      <c r="AC87" s="12"/>
      <c r="AD87" s="12"/>
      <c r="AE87" s="12"/>
      <c r="AF87" s="12"/>
      <c r="AG87" s="12"/>
      <c r="AH87" s="12"/>
      <c r="AI87" s="12"/>
    </row>
    <row r="88" spans="1:35" s="10" customFormat="1" x14ac:dyDescent="0.25">
      <c r="A88" s="12"/>
      <c r="B88" s="12"/>
      <c r="C88" s="12"/>
      <c r="D88"/>
      <c r="E88" s="21"/>
      <c r="F88" s="23"/>
      <c r="G88" s="23"/>
      <c r="H88" s="23"/>
      <c r="I88" s="22"/>
      <c r="J88" s="22"/>
      <c r="K88" s="22"/>
      <c r="L88" s="22"/>
      <c r="M88" s="21"/>
      <c r="N88" s="22"/>
      <c r="O88" s="22"/>
      <c r="P88" s="22"/>
      <c r="Q88" s="22"/>
      <c r="R88" s="22"/>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3"/>
      <c r="I89" s="22"/>
      <c r="J89" s="22"/>
      <c r="K89" s="22"/>
      <c r="L89" s="23"/>
      <c r="M89" s="21"/>
      <c r="N89" s="22"/>
      <c r="O89" s="22"/>
      <c r="P89" s="22"/>
      <c r="Q89" s="22"/>
      <c r="R89" s="28"/>
      <c r="S89" s="22"/>
      <c r="T89" s="24"/>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3"/>
      <c r="I90" s="22"/>
      <c r="J90" s="22"/>
      <c r="K90" s="22"/>
      <c r="L90" s="23"/>
      <c r="M90" s="21"/>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3"/>
      <c r="I91" s="22"/>
      <c r="J91" s="22"/>
      <c r="K91" s="22"/>
      <c r="L91" s="22"/>
      <c r="M91" s="21"/>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30"/>
      <c r="N92" s="22"/>
      <c r="O92" s="22"/>
      <c r="P92" s="22"/>
      <c r="Q92" s="23"/>
      <c r="R92" s="23"/>
      <c r="S92" s="22"/>
      <c r="T92" s="27"/>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4"/>
      <c r="N93" s="22"/>
      <c r="O93" s="22"/>
      <c r="P93" s="22"/>
      <c r="Q93" s="23"/>
      <c r="R93" s="23"/>
      <c r="S93" s="22"/>
      <c r="T93" s="24"/>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4"/>
      <c r="N94" s="22"/>
      <c r="O94" s="22"/>
      <c r="P94" s="22"/>
      <c r="Q94" s="23"/>
      <c r="R94" s="23"/>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3"/>
      <c r="R95" s="23"/>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4"/>
      <c r="N96" s="22"/>
      <c r="O96" s="22"/>
      <c r="P96" s="22"/>
      <c r="Q96" s="23"/>
      <c r="R96" s="23"/>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1"/>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3"/>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3"/>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2"/>
      <c r="R111" s="28"/>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1"/>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1"/>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1"/>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2"/>
      <c r="F118" s="22"/>
      <c r="G118" s="22"/>
      <c r="H118" s="22"/>
      <c r="I118" s="22"/>
      <c r="J118" s="22"/>
      <c r="K118" s="22"/>
      <c r="L118" s="22"/>
      <c r="M118" s="22"/>
      <c r="N118" s="22"/>
      <c r="O118" s="22"/>
      <c r="P118" s="22"/>
      <c r="Q118" s="22"/>
      <c r="R118" s="28"/>
      <c r="S118" s="22"/>
      <c r="T118" s="22"/>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1"/>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s="12"/>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s="24"/>
      <c r="F152" s="23"/>
      <c r="G152" s="22"/>
      <c r="H152" s="25"/>
      <c r="I152" s="22"/>
      <c r="J152" s="22"/>
      <c r="K152" s="22"/>
      <c r="L152" s="22"/>
      <c r="M152" s="24"/>
      <c r="N152" s="22"/>
      <c r="O152" s="22"/>
      <c r="P152" s="22"/>
      <c r="Q152" s="22"/>
      <c r="R152" s="22"/>
      <c r="S152" s="22"/>
      <c r="T152" s="19"/>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c r="F153"/>
      <c r="G153"/>
      <c r="H153"/>
      <c r="I153"/>
      <c r="J153"/>
      <c r="K153"/>
      <c r="L153"/>
      <c r="M153"/>
      <c r="N153"/>
      <c r="O153"/>
      <c r="P153"/>
      <c r="Q153"/>
      <c r="R153"/>
      <c r="S153"/>
      <c r="T153"/>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c r="F158"/>
      <c r="G158"/>
      <c r="H158"/>
      <c r="I158"/>
      <c r="J158"/>
      <c r="K158"/>
      <c r="L158"/>
      <c r="M158"/>
      <c r="N158"/>
      <c r="O158"/>
      <c r="P158"/>
      <c r="Q158"/>
      <c r="R158"/>
      <c r="S158"/>
      <c r="T158"/>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c r="F159"/>
      <c r="G159"/>
      <c r="H159"/>
      <c r="I159"/>
      <c r="J159"/>
      <c r="K159"/>
      <c r="L159"/>
      <c r="M159"/>
      <c r="N159"/>
      <c r="O159"/>
      <c r="P159"/>
      <c r="Q159"/>
      <c r="R159"/>
      <c r="S159"/>
      <c r="T159"/>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c r="F160"/>
      <c r="G160"/>
      <c r="H160"/>
      <c r="I160"/>
      <c r="J160"/>
      <c r="K160"/>
      <c r="L160"/>
      <c r="M160"/>
      <c r="N160"/>
      <c r="O160"/>
      <c r="P160"/>
      <c r="Q160"/>
      <c r="R160"/>
      <c r="S160"/>
      <c r="T160"/>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c r="F161"/>
      <c r="G161"/>
      <c r="H161"/>
      <c r="I161"/>
      <c r="J161"/>
      <c r="K161"/>
      <c r="L161"/>
      <c r="M161"/>
      <c r="N161"/>
      <c r="O161"/>
      <c r="P161"/>
      <c r="Q161"/>
      <c r="R161"/>
      <c r="S161"/>
      <c r="T16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s="24"/>
      <c r="F165" s="23"/>
      <c r="G165" s="22"/>
      <c r="H165" s="22"/>
      <c r="I165" s="22"/>
      <c r="J165" s="22"/>
      <c r="K165" s="22"/>
      <c r="L165" s="22"/>
      <c r="M165" s="21"/>
      <c r="N165" s="22"/>
      <c r="O165" s="22"/>
      <c r="P165" s="22"/>
      <c r="Q165" s="22"/>
      <c r="R165" s="22"/>
      <c r="S165" s="22"/>
      <c r="T165" s="19"/>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4"/>
      <c r="N166" s="22"/>
      <c r="O166" s="22"/>
      <c r="P166" s="22"/>
      <c r="Q166" s="22"/>
      <c r="R166" s="28"/>
      <c r="S166" s="22"/>
      <c r="T166" s="24"/>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19"/>
      <c r="F167" s="23"/>
      <c r="G167" s="22"/>
      <c r="H167" s="22"/>
      <c r="I167" s="22"/>
      <c r="J167" s="22"/>
      <c r="K167" s="22"/>
      <c r="L167" s="23"/>
      <c r="M167" s="24"/>
      <c r="N167" s="22"/>
      <c r="O167" s="22"/>
      <c r="P167" s="22"/>
      <c r="Q167" s="22"/>
      <c r="R167" s="28"/>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19"/>
      <c r="F168" s="23"/>
      <c r="G168" s="22"/>
      <c r="H168" s="22"/>
      <c r="I168" s="22"/>
      <c r="J168" s="22"/>
      <c r="K168" s="22"/>
      <c r="L168" s="23"/>
      <c r="M168" s="24"/>
      <c r="N168" s="22"/>
      <c r="O168" s="22"/>
      <c r="P168" s="22"/>
      <c r="Q168" s="22"/>
      <c r="R168" s="28"/>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19"/>
      <c r="F169" s="23"/>
      <c r="G169" s="22"/>
      <c r="H169" s="25"/>
      <c r="I169" s="22"/>
      <c r="J169" s="22"/>
      <c r="K169" s="22"/>
      <c r="L169" s="23"/>
      <c r="M169" s="24"/>
      <c r="N169" s="22"/>
      <c r="O169" s="22"/>
      <c r="P169" s="22"/>
      <c r="Q169" s="22"/>
      <c r="R169" s="28"/>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19"/>
      <c r="F170" s="23"/>
      <c r="G170" s="22"/>
      <c r="H170" s="22"/>
      <c r="I170" s="22"/>
      <c r="J170" s="22"/>
      <c r="K170" s="22"/>
      <c r="L170" s="23"/>
      <c r="M170" s="24"/>
      <c r="N170" s="22"/>
      <c r="O170" s="22"/>
      <c r="P170" s="22"/>
      <c r="Q170" s="22"/>
      <c r="R170" s="28"/>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19"/>
      <c r="F171" s="23"/>
      <c r="G171" s="22"/>
      <c r="H171" s="22"/>
      <c r="I171" s="22"/>
      <c r="J171" s="22"/>
      <c r="K171" s="22"/>
      <c r="L171" s="23"/>
      <c r="M171" s="24"/>
      <c r="N171" s="22"/>
      <c r="O171" s="22"/>
      <c r="P171" s="22"/>
      <c r="Q171" s="22"/>
      <c r="R171" s="28"/>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2"/>
      <c r="F172" s="23"/>
      <c r="G172" s="22"/>
      <c r="H172" s="22"/>
      <c r="I172" s="22"/>
      <c r="J172" s="22"/>
      <c r="K172" s="22"/>
      <c r="L172" s="23"/>
      <c r="M172" s="24"/>
      <c r="N172" s="22"/>
      <c r="O172" s="22"/>
      <c r="P172" s="22"/>
      <c r="Q172" s="22"/>
      <c r="R172" s="28"/>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2"/>
      <c r="F173" s="23"/>
      <c r="G173" s="22"/>
      <c r="H173" s="22"/>
      <c r="I173" s="22"/>
      <c r="J173" s="22"/>
      <c r="K173" s="22"/>
      <c r="L173" s="23"/>
      <c r="M173" s="24"/>
      <c r="N173" s="22"/>
      <c r="O173" s="22"/>
      <c r="P173" s="22"/>
      <c r="Q173" s="22"/>
      <c r="R173" s="28"/>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2"/>
      <c r="F174" s="23"/>
      <c r="G174" s="22"/>
      <c r="H174" s="22"/>
      <c r="I174" s="22"/>
      <c r="J174" s="22"/>
      <c r="K174" s="22"/>
      <c r="L174" s="23"/>
      <c r="M174" s="24"/>
      <c r="N174" s="22"/>
      <c r="O174" s="22"/>
      <c r="P174" s="22"/>
      <c r="Q174" s="22"/>
      <c r="R174" s="28"/>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3"/>
      <c r="I175" s="22"/>
      <c r="J175" s="22"/>
      <c r="K175" s="22"/>
      <c r="L175" s="22"/>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3"/>
      <c r="I176" s="22"/>
      <c r="J176" s="22"/>
      <c r="K176" s="22"/>
      <c r="L176" s="22"/>
      <c r="M176" s="24"/>
      <c r="N176" s="22"/>
      <c r="O176" s="22"/>
      <c r="P176" s="22"/>
      <c r="Q176" s="23"/>
      <c r="R176" s="23"/>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3"/>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4"/>
      <c r="N178" s="22"/>
      <c r="O178" s="22"/>
      <c r="P178" s="22"/>
      <c r="Q178" s="23"/>
      <c r="R178" s="23"/>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4"/>
      <c r="N179" s="22"/>
      <c r="O179" s="22"/>
      <c r="P179" s="22"/>
      <c r="Q179" s="23"/>
      <c r="R179" s="23"/>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3"/>
      <c r="R180" s="23"/>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3"/>
      <c r="R181" s="23"/>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4"/>
      <c r="N182" s="22"/>
      <c r="O182" s="22"/>
      <c r="P182" s="22"/>
      <c r="Q182" s="23"/>
      <c r="R182" s="23"/>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4"/>
      <c r="N183" s="22"/>
      <c r="O183" s="22"/>
      <c r="P183" s="22"/>
      <c r="Q183" s="23"/>
      <c r="R183" s="23"/>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6"/>
      <c r="I184" s="22"/>
      <c r="J184" s="22"/>
      <c r="K184" s="22"/>
      <c r="L184" s="22"/>
      <c r="M184" s="24"/>
      <c r="N184" s="22"/>
      <c r="O184" s="22"/>
      <c r="P184" s="22"/>
      <c r="Q184" s="23"/>
      <c r="R184" s="23"/>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1"/>
      <c r="N185" s="22"/>
      <c r="O185" s="22"/>
      <c r="P185" s="22"/>
      <c r="Q185" s="22"/>
      <c r="R185" s="28"/>
      <c r="S185" s="22"/>
      <c r="T185" s="20"/>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2"/>
      <c r="H186" s="22"/>
      <c r="I186" s="22"/>
      <c r="J186" s="22"/>
      <c r="K186" s="22"/>
      <c r="L186" s="22"/>
      <c r="M186" s="21"/>
      <c r="N186" s="22"/>
      <c r="O186" s="22"/>
      <c r="P186" s="22"/>
      <c r="Q186" s="22"/>
      <c r="R186" s="22"/>
      <c r="S186" s="22"/>
      <c r="T186" s="19"/>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3"/>
      <c r="H187" s="26"/>
      <c r="I187" s="22"/>
      <c r="J187" s="22"/>
      <c r="K187" s="22"/>
      <c r="L187" s="22"/>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19"/>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19"/>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19"/>
      <c r="F190" s="23"/>
      <c r="G190" s="22"/>
      <c r="H190" s="25"/>
      <c r="I190" s="22"/>
      <c r="J190" s="22"/>
      <c r="K190" s="22"/>
      <c r="L190" s="23"/>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19"/>
      <c r="F191" s="23"/>
      <c r="G191" s="22"/>
      <c r="H191" s="22"/>
      <c r="I191" s="22"/>
      <c r="J191" s="22"/>
      <c r="K191" s="22"/>
      <c r="L191" s="23"/>
      <c r="M191" s="24"/>
      <c r="N191" s="22"/>
      <c r="O191" s="22"/>
      <c r="P191" s="22"/>
      <c r="Q191" s="22"/>
      <c r="R191" s="28"/>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19"/>
      <c r="F192" s="23"/>
      <c r="G192" s="22"/>
      <c r="H192" s="22"/>
      <c r="I192" s="22"/>
      <c r="J192" s="22"/>
      <c r="K192" s="22"/>
      <c r="L192" s="23"/>
      <c r="M192" s="24"/>
      <c r="N192" s="22"/>
      <c r="O192" s="22"/>
      <c r="P192" s="22"/>
      <c r="Q192" s="22"/>
      <c r="R192" s="28"/>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2"/>
      <c r="F193" s="23"/>
      <c r="G193" s="22"/>
      <c r="H193" s="22"/>
      <c r="I193" s="22"/>
      <c r="J193" s="22"/>
      <c r="K193" s="22"/>
      <c r="L193" s="23"/>
      <c r="M193" s="24"/>
      <c r="N193" s="22"/>
      <c r="O193" s="22"/>
      <c r="P193" s="22"/>
      <c r="Q193" s="22"/>
      <c r="R193" s="28"/>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2"/>
      <c r="F194" s="23"/>
      <c r="G194" s="22"/>
      <c r="H194" s="22"/>
      <c r="I194" s="22"/>
      <c r="J194" s="22"/>
      <c r="K194" s="22"/>
      <c r="L194" s="23"/>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2"/>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3"/>
      <c r="I196" s="22"/>
      <c r="J196" s="22"/>
      <c r="K196" s="22"/>
      <c r="L196" s="22"/>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3"/>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3"/>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3"/>
      <c r="R202" s="23"/>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3"/>
      <c r="R203" s="23"/>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6"/>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1"/>
      <c r="N206" s="22"/>
      <c r="O206" s="22"/>
      <c r="P206" s="22"/>
      <c r="Q206" s="22"/>
      <c r="R206" s="28"/>
      <c r="S206" s="22"/>
      <c r="T206" s="20"/>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2"/>
      <c r="H207" s="22"/>
      <c r="I207" s="22"/>
      <c r="J207" s="22"/>
      <c r="K207" s="22"/>
      <c r="L207" s="22"/>
      <c r="M207" s="21"/>
      <c r="N207" s="22"/>
      <c r="O207" s="22"/>
      <c r="P207" s="22"/>
      <c r="Q207" s="22"/>
      <c r="R207" s="22"/>
      <c r="S207" s="22"/>
      <c r="T207" s="19"/>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19"/>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19"/>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19"/>
      <c r="F211" s="23"/>
      <c r="G211" s="22"/>
      <c r="H211" s="25"/>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19"/>
      <c r="F212" s="23"/>
      <c r="G212" s="22"/>
      <c r="H212" s="22"/>
      <c r="I212" s="22"/>
      <c r="J212" s="22"/>
      <c r="K212" s="22"/>
      <c r="L212" s="23"/>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19"/>
      <c r="F213" s="23"/>
      <c r="G213" s="22"/>
      <c r="H213" s="22"/>
      <c r="I213" s="22"/>
      <c r="J213" s="22"/>
      <c r="K213" s="22"/>
      <c r="L213" s="23"/>
      <c r="M213" s="24"/>
      <c r="N213" s="22"/>
      <c r="O213" s="22"/>
      <c r="P213" s="22"/>
      <c r="Q213" s="22"/>
      <c r="R213" s="28"/>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2"/>
      <c r="F214" s="23"/>
      <c r="G214" s="22"/>
      <c r="H214" s="22"/>
      <c r="I214" s="22"/>
      <c r="J214" s="22"/>
      <c r="K214" s="22"/>
      <c r="L214" s="23"/>
      <c r="M214" s="24"/>
      <c r="N214" s="22"/>
      <c r="O214" s="22"/>
      <c r="P214" s="22"/>
      <c r="Q214" s="22"/>
      <c r="R214" s="28"/>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2"/>
      <c r="F215" s="23"/>
      <c r="G215" s="22"/>
      <c r="H215" s="22"/>
      <c r="I215" s="22"/>
      <c r="J215" s="22"/>
      <c r="K215" s="22"/>
      <c r="L215" s="23"/>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2"/>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3"/>
      <c r="I217" s="22"/>
      <c r="J217" s="22"/>
      <c r="K217" s="22"/>
      <c r="L217" s="22"/>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3"/>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3"/>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3"/>
      <c r="R223" s="23"/>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3"/>
      <c r="R224" s="23"/>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6"/>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1"/>
      <c r="N227" s="22"/>
      <c r="O227" s="22"/>
      <c r="P227" s="22"/>
      <c r="Q227" s="22"/>
      <c r="R227" s="28"/>
      <c r="S227" s="22"/>
      <c r="T227" s="20"/>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2"/>
      <c r="H228" s="22"/>
      <c r="I228" s="22"/>
      <c r="J228" s="22"/>
      <c r="K228" s="22"/>
      <c r="L228" s="22"/>
      <c r="M228" s="21"/>
      <c r="N228" s="22"/>
      <c r="O228" s="22"/>
      <c r="P228" s="22"/>
      <c r="Q228" s="22"/>
      <c r="R228" s="22"/>
      <c r="S228" s="22"/>
      <c r="T228" s="19"/>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19"/>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19"/>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19"/>
      <c r="F232" s="23"/>
      <c r="G232" s="22"/>
      <c r="H232" s="25"/>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19"/>
      <c r="F233" s="23"/>
      <c r="G233" s="22"/>
      <c r="H233" s="22"/>
      <c r="I233" s="22"/>
      <c r="J233" s="22"/>
      <c r="K233" s="22"/>
      <c r="L233" s="23"/>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19"/>
      <c r="F234" s="23"/>
      <c r="G234" s="22"/>
      <c r="H234" s="22"/>
      <c r="I234" s="22"/>
      <c r="J234" s="22"/>
      <c r="K234" s="22"/>
      <c r="L234" s="23"/>
      <c r="M234" s="24"/>
      <c r="N234" s="22"/>
      <c r="O234" s="22"/>
      <c r="P234" s="22"/>
      <c r="Q234" s="22"/>
      <c r="R234" s="28"/>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2"/>
      <c r="F235" s="23"/>
      <c r="G235" s="22"/>
      <c r="H235" s="22"/>
      <c r="I235" s="22"/>
      <c r="J235" s="22"/>
      <c r="K235" s="22"/>
      <c r="L235" s="23"/>
      <c r="M235" s="24"/>
      <c r="N235" s="22"/>
      <c r="O235" s="22"/>
      <c r="P235" s="22"/>
      <c r="Q235" s="22"/>
      <c r="R235" s="28"/>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2"/>
      <c r="F236" s="23"/>
      <c r="G236" s="22"/>
      <c r="H236" s="22"/>
      <c r="I236" s="22"/>
      <c r="J236" s="22"/>
      <c r="K236" s="22"/>
      <c r="L236" s="23"/>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2"/>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3"/>
      <c r="I238" s="22"/>
      <c r="J238" s="22"/>
      <c r="K238" s="22"/>
      <c r="L238" s="22"/>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3"/>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3"/>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3"/>
      <c r="R244" s="23"/>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3"/>
      <c r="R245" s="23"/>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6"/>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1"/>
      <c r="N248" s="22"/>
      <c r="O248" s="22"/>
      <c r="P248" s="22"/>
      <c r="Q248" s="22"/>
      <c r="R248" s="28"/>
      <c r="S248" s="22"/>
      <c r="T248" s="20"/>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c r="F249"/>
      <c r="G249"/>
      <c r="H249"/>
      <c r="I249"/>
      <c r="J249"/>
      <c r="K249"/>
      <c r="L249"/>
      <c r="M249"/>
      <c r="N249"/>
      <c r="O249"/>
      <c r="P249"/>
      <c r="Q249"/>
      <c r="R249"/>
      <c r="S249"/>
      <c r="T249"/>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s="12"/>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s="12"/>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s="1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s="12"/>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s="12"/>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s="3"/>
      <c r="H382" s="3"/>
      <c r="I382" s="3"/>
      <c r="J382" s="3"/>
      <c r="K382"/>
      <c r="L382"/>
      <c r="M382"/>
      <c r="N382" s="3"/>
      <c r="O382" s="3"/>
      <c r="P382" s="3"/>
      <c r="Q382" s="3"/>
      <c r="R382" s="3"/>
      <c r="S382"/>
      <c r="T382"/>
      <c r="U382"/>
      <c r="V382"/>
      <c r="W382" s="12"/>
      <c r="X382" s="12"/>
      <c r="Y382" s="1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s="15"/>
      <c r="E441"/>
      <c r="F441"/>
      <c r="G441" s="3"/>
      <c r="H441" s="3"/>
      <c r="I441" s="3"/>
      <c r="J441" s="3"/>
      <c r="K441"/>
      <c r="L441"/>
      <c r="M441"/>
      <c r="N441" s="3"/>
      <c r="O441" s="3"/>
      <c r="P441" s="3"/>
      <c r="Q441" s="3"/>
      <c r="R441" s="3"/>
      <c r="S441"/>
      <c r="T441"/>
      <c r="U441" s="12"/>
      <c r="V441" s="12"/>
      <c r="W441" s="12"/>
      <c r="X441" s="12"/>
      <c r="Y441" s="12"/>
      <c r="Z441" s="12"/>
      <c r="AA441" s="12"/>
      <c r="AB441" s="12"/>
      <c r="AC441" s="12"/>
      <c r="AD441" s="12"/>
      <c r="AE441" s="12"/>
      <c r="AF441" s="12"/>
      <c r="AG441" s="12"/>
      <c r="AH441" s="12"/>
      <c r="AI441" s="12"/>
    </row>
    <row r="442" spans="1:35" s="10" customFormat="1" x14ac:dyDescent="0.25">
      <c r="A442" s="12"/>
      <c r="B442" s="12"/>
      <c r="C442" s="12"/>
      <c r="D442" s="15"/>
      <c r="E442"/>
      <c r="F442"/>
      <c r="G442" s="3"/>
      <c r="H442" s="3"/>
      <c r="I442" s="3"/>
      <c r="J442" s="3"/>
      <c r="K442"/>
      <c r="L442"/>
      <c r="M442"/>
      <c r="N442" s="3"/>
      <c r="O442" s="3"/>
      <c r="P442" s="3"/>
      <c r="Q442" s="3"/>
      <c r="R442" s="3"/>
      <c r="S442"/>
      <c r="T44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5"/>
      <c r="E443"/>
      <c r="F443"/>
      <c r="G443" s="3"/>
      <c r="H443" s="3"/>
      <c r="I443" s="3"/>
      <c r="J443" s="3"/>
      <c r="K443"/>
      <c r="L443"/>
      <c r="M443"/>
      <c r="N443" s="3"/>
      <c r="O443" s="3"/>
      <c r="P443" s="3"/>
      <c r="Q443" s="3"/>
      <c r="R443" s="3"/>
      <c r="S443"/>
      <c r="T443"/>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2"/>
      <c r="E444"/>
      <c r="F444"/>
      <c r="G444" s="3"/>
      <c r="H444" s="3"/>
      <c r="I444" s="3"/>
      <c r="J444" s="3"/>
      <c r="K444"/>
      <c r="L444"/>
      <c r="M444"/>
      <c r="N444" s="3"/>
      <c r="O444" s="3"/>
      <c r="P444" s="3"/>
      <c r="Q444" s="3"/>
      <c r="R444" s="3"/>
      <c r="S444"/>
      <c r="T444"/>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c r="F445"/>
      <c r="G445" s="3"/>
      <c r="H445" s="3"/>
      <c r="I445" s="3"/>
      <c r="J445" s="3"/>
      <c r="K445"/>
      <c r="L445"/>
      <c r="M445"/>
      <c r="N445" s="3"/>
      <c r="O445" s="3"/>
      <c r="P445" s="3"/>
      <c r="Q445" s="3"/>
      <c r="R445" s="3"/>
      <c r="S445"/>
      <c r="T445"/>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s="12"/>
      <c r="G446" s="14"/>
      <c r="H446" s="17"/>
      <c r="I446" s="14"/>
      <c r="M446" s="12"/>
      <c r="T446" s="12"/>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7" spans="1:35" s="10" customFormat="1" x14ac:dyDescent="0.25">
      <c r="A487" s="12"/>
      <c r="B487" s="12"/>
      <c r="C487" s="12"/>
      <c r="D487" s="12"/>
      <c r="E487" s="12"/>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8" sqref="C18"/>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223</v>
      </c>
      <c r="D16" s="3">
        <v>5</v>
      </c>
      <c r="E16" t="s">
        <v>224</v>
      </c>
      <c r="F16" t="s">
        <v>225</v>
      </c>
    </row>
    <row r="17" spans="3:6" x14ac:dyDescent="0.25">
      <c r="C17" t="s">
        <v>276</v>
      </c>
      <c r="D17" s="3">
        <v>6</v>
      </c>
      <c r="E17" t="s">
        <v>276</v>
      </c>
      <c r="F17" t="s">
        <v>290</v>
      </c>
    </row>
    <row r="18" spans="3:6" x14ac:dyDescent="0.25">
      <c r="C18" t="s">
        <v>196</v>
      </c>
      <c r="D18" s="3">
        <v>7</v>
      </c>
      <c r="E18" t="s">
        <v>87</v>
      </c>
      <c r="F18" t="s">
        <v>202</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Martin Šťastný</cp:lastModifiedBy>
  <dcterms:created xsi:type="dcterms:W3CDTF">2006-09-16T00:00:00Z</dcterms:created>
  <dcterms:modified xsi:type="dcterms:W3CDTF">2025-08-28T10:27:55Z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