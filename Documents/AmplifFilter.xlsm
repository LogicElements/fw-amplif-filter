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D:\work\gitlab\fw-amplif-filter\Documents\"/>
    </mc:Choice>
  </mc:AlternateContent>
  <xr:revisionPtr revIDLastSave="0" documentId="13_ncr:1_{0B3F8232-22BB-47C9-A1A8-69D6126BD25C}" xr6:coauthVersionLast="47" xr6:coauthVersionMax="47" xr10:uidLastSave="{00000000-0000-0000-0000-000000000000}"/>
  <bookViews>
    <workbookView xWindow="825" yWindow="480" windowWidth="34665" windowHeight="19845"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1" i="25" l="1"/>
  <c r="K92" i="25"/>
  <c r="L92" i="25"/>
  <c r="I92" i="25"/>
  <c r="L91" i="25"/>
  <c r="I91" i="25"/>
  <c r="I87" i="25"/>
  <c r="L90" i="25"/>
  <c r="L86" i="25"/>
  <c r="L82" i="25"/>
  <c r="I82" i="25"/>
  <c r="L80" i="25"/>
  <c r="K76" i="25"/>
  <c r="L79" i="25"/>
  <c r="L78" i="25"/>
  <c r="I77" i="25"/>
  <c r="I78" i="25" s="1"/>
  <c r="I74" i="25"/>
  <c r="K72" i="25"/>
  <c r="K73" i="25"/>
  <c r="K74" i="25"/>
  <c r="K77" i="25"/>
  <c r="L77" i="25"/>
  <c r="L76" i="25"/>
  <c r="L74" i="25"/>
  <c r="K71" i="25"/>
  <c r="K70" i="25"/>
  <c r="K69" i="25"/>
  <c r="L69" i="25"/>
  <c r="I88" i="25" l="1"/>
  <c r="I89" i="25" s="1"/>
  <c r="I90" i="25" s="1"/>
  <c r="K82" i="25"/>
  <c r="I83" i="25"/>
  <c r="I84" i="25" s="1"/>
  <c r="I85" i="25" s="1"/>
  <c r="I86" i="25" s="1"/>
  <c r="K86" i="25" s="1"/>
  <c r="I79" i="25"/>
  <c r="K78" i="25"/>
  <c r="L65" i="25"/>
  <c r="L66" i="25"/>
  <c r="L67" i="25"/>
  <c r="L68" i="25"/>
  <c r="L60" i="25"/>
  <c r="L64" i="25"/>
  <c r="L57" i="25"/>
  <c r="L54" i="25"/>
  <c r="I54" i="25"/>
  <c r="I55" i="25" s="1"/>
  <c r="I56" i="25" s="1"/>
  <c r="I57" i="25" s="1"/>
  <c r="L31" i="25"/>
  <c r="F11" i="25"/>
  <c r="F8" i="25"/>
  <c r="F10" i="25"/>
  <c r="F9" i="25"/>
  <c r="K79" i="25" l="1"/>
  <c r="I80" i="25"/>
  <c r="K80" i="25" s="1"/>
  <c r="K87" i="25"/>
  <c r="K54" i="25"/>
  <c r="K57" i="25"/>
  <c r="I58" i="25"/>
  <c r="I59" i="25" s="1"/>
  <c r="I60" i="25" s="1"/>
  <c r="I61" i="25" s="1"/>
  <c r="I62" i="25" s="1"/>
  <c r="K55" i="25"/>
  <c r="K56" i="25"/>
  <c r="K88" i="25" l="1"/>
  <c r="I63" i="25"/>
  <c r="I64" i="25" s="1"/>
  <c r="I65" i="25" s="1"/>
  <c r="K60" i="25"/>
  <c r="K64" i="25"/>
  <c r="L30" i="25"/>
  <c r="K45" i="25"/>
  <c r="K49" i="25"/>
  <c r="L50" i="25"/>
  <c r="I50" i="25"/>
  <c r="K50" i="25" s="1"/>
  <c r="L49" i="25"/>
  <c r="L45" i="25"/>
  <c r="L29" i="25"/>
  <c r="I66" i="25" l="1"/>
  <c r="K65" i="25"/>
  <c r="L41" i="25"/>
  <c r="L40" i="25"/>
  <c r="L39" i="25"/>
  <c r="L38" i="25"/>
  <c r="L36" i="25"/>
  <c r="L35" i="25"/>
  <c r="L34" i="25"/>
  <c r="L33" i="25"/>
  <c r="L28" i="25"/>
  <c r="L27" i="25"/>
  <c r="L20" i="25"/>
  <c r="L19" i="25"/>
  <c r="L18" i="25"/>
  <c r="K38" i="25"/>
  <c r="K33" i="25"/>
  <c r="K89" i="25" l="1"/>
  <c r="K66" i="25"/>
  <c r="I67" i="25"/>
  <c r="I39" i="25"/>
  <c r="I68" i="25" l="1"/>
  <c r="K68" i="25" s="1"/>
  <c r="K67" i="25"/>
  <c r="I40" i="25"/>
  <c r="K39" i="25"/>
  <c r="I41" i="25" l="1"/>
  <c r="K41" i="25" s="1"/>
  <c r="K40" i="25"/>
  <c r="I18" i="25" l="1"/>
  <c r="F7" i="25"/>
  <c r="F12" i="25"/>
  <c r="K18" i="25" l="1"/>
  <c r="I19" i="25"/>
  <c r="I20" i="25" s="1"/>
  <c r="I21" i="25" s="1"/>
  <c r="I22" i="25" l="1"/>
  <c r="K21" i="25"/>
  <c r="K19" i="25"/>
  <c r="I34" i="25"/>
  <c r="K34" i="25" s="1"/>
  <c r="I23" i="25" l="1"/>
  <c r="K22" i="25"/>
  <c r="K20" i="25"/>
  <c r="I35" i="25"/>
  <c r="K90" i="25" l="1"/>
  <c r="K23" i="25"/>
  <c r="I24" i="25"/>
  <c r="K24" i="25" s="1"/>
  <c r="I25" i="25"/>
  <c r="I36" i="25"/>
  <c r="K36" i="25" s="1"/>
  <c r="K35" i="25"/>
  <c r="I26" i="25" l="1"/>
  <c r="K25" i="25"/>
  <c r="I27" i="25" l="1"/>
  <c r="K26" i="25"/>
  <c r="I28" i="25" l="1"/>
  <c r="K27" i="25"/>
  <c r="I29" i="25" l="1"/>
  <c r="K28" i="25"/>
  <c r="I30" i="25" l="1"/>
  <c r="K29" i="25"/>
  <c r="K30" i="25" l="1"/>
  <c r="I31" i="25"/>
  <c r="K31" i="25" s="1"/>
</calcChain>
</file>

<file path=xl/sharedStrings.xml><?xml version="1.0" encoding="utf-8"?>
<sst xmlns="http://schemas.openxmlformats.org/spreadsheetml/2006/main" count="517" uniqueCount="322">
  <si>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</si>
  <si>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</si>
  <si>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</si>
  <si>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</si>
  <si>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</si>
  <si>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</si>
  <si>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</si>
  <si>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</si>
  <si>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</si>
  <si>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</si>
  <si>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</si>
  <si>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</si>
  <si>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</si>
  <si>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</si>
  <si>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</si>
  <si>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</si>
  <si>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</si>
  <si>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</si>
  <si>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</si>
  <si>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</si>
  <si>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</si>
  <si>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</si>
  <si>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</si>
  <si>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</si>
  <si>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</si>
  <si>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</si>
  <si>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</si>
  <si>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</si>
  <si>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</si>
  <si>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</si>
  <si>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</si>
  <si>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</si>
  <si>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</si>
  <si>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</si>
  <si>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</si>
  <si>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</si>
  <si>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</si>
  <si>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</si>
  <si>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</si>
  <si>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</si>
  <si>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</si>
  <si>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</si>
  <si>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</si>
  <si>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</si>
  <si>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</si>
  <si>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</si>
  <si>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</si>
  <si>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</si>
  <si>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</si>
  <si>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</si>
  <si>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</si>
  <si>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</si>
  <si>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</si>
  <si>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</si>
  <si>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</si>
  <si>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</si>
  <si>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</si>
  <si>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</si>
  <si>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</si>
  <si>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</si>
  <si>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</si>
  <si>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</si>
  <si>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</si>
  <si>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</si>
  <si>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</si>
  <si>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</si>
  <si>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</si>
  <si>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</si>
  <si>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</si>
  <si>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</si>
  <si>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</si>
  <si>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</si>
  <si>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</si>
  <si>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</si>
  <si>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</si>
  <si>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</si>
  <si>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</si>
  <si>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</si>
  <si>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</si>
  <si>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</si>
  <si>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</si>
  <si>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</si>
  <si>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</si>
  <si>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</si>
  <si>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</si>
  <si>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</si>
  <si>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</si>
  <si>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</si>
  <si>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</si>
  <si>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</si>
  <si>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</si>
  <si>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</si>
  <si>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</si>
  <si>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</si>
  <si>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</si>
  <si>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</si>
  <si>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</si>
  <si>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</si>
  <si>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</si>
  <si>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</si>
  <si>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</si>
  <si>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</si>
  <si>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</si>
  <si>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</si>
  <si>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</si>
  <si>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</si>
  <si>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</si>
  <si>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</si>
  <si>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</si>
  <si>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</si>
  <si>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</si>
  <si>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</si>
  <si>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</si>
  <si>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</si>
  <si>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</si>
  <si>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</si>
  <si>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</si>
  <si>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</si>
  <si>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</si>
  <si>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</si>
  <si>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</si>
  <si>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</si>
  <si>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</si>
  <si>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</si>
  <si>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</si>
  <si>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</si>
  <si>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</si>
  <si>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</si>
  <si>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</si>
  <si>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</si>
  <si>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</si>
  <si>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</si>
  <si>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</si>
  <si>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</si>
  <si>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</si>
  <si>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</si>
  <si>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</si>
  <si>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</si>
  <si>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</si>
  <si>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</si>
  <si>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</si>
  <si>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</si>
  <si>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</si>
  <si>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</si>
  <si>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</si>
  <si>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</si>
  <si>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</si>
  <si>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</si>
  <si>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</si>
  <si>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</si>
  <si>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</si>
  <si>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</si>
  <si>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</si>
  <si>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</si>
  <si>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</si>
  <si>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</si>
  <si>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</si>
  <si>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</si>
  <si>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</si>
  <si>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</si>
  <si>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</si>
  <si>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</si>
  <si>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</si>
  <si>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</si>
  <si>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</si>
  <si>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</si>
  <si>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</si>
  <si>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</si>
  <si>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</si>
  <si>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</si>
  <si>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</si>
  <si>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</si>
  <si>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</si>
  <si>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</si>
  <si>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</si>
  <si>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</si>
  <si>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</si>
  <si>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</si>
  <si>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</si>
  <si>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</si>
  <si>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</si>
  <si>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</si>
  <si>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</si>
  <si>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</si>
  <si>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</si>
  <si>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</si>
  <si>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</si>
  <si>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</si>
  <si>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</si>
  <si>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</si>
  <si>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</si>
  <si>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</si>
  <si>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</si>
  <si>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</si>
  <si>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</si>
  <si>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</si>
  <si>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</si>
  <si>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</si>
  <si>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</si>
  <si>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</si>
  <si>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</si>
  <si>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</si>
  <si>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</si>
  <si>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</si>
  <si>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</si>
  <si>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ms</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</si>
  <si>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</si>
  <si>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</si>
  <si>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</si>
  <si>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</si>
  <si>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</si>
  <si>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</si>
  <si>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</si>
  <si>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</si>
  <si>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</si>
  <si>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</si>
  <si>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</si>
  <si>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</si>
  <si>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</si>
  <si>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</si>
  <si>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D:\work\gitlab\fw-amplif-filter\Documents\txts\AmplifFilter_registers.json</t>
  </si>
  <si>
    <t>D:\work\gitlab\fw-amplif-filter\Documents\txts\AmplifFilterRegs.py</t>
  </si>
  <si>
    <t>MEAS</t>
  </si>
  <si>
    <t>MEASUREMENT</t>
  </si>
  <si>
    <t>Analog signal measurement</t>
  </si>
  <si>
    <t>MEAS_MD_RAW</t>
  </si>
  <si>
    <t>MEAS_MD_FILTER</t>
  </si>
  <si>
    <t>Mode of measurement</t>
  </si>
  <si>
    <t>RAW</t>
  </si>
  <si>
    <t>AVERAGE</t>
  </si>
  <si>
    <t>THRESHLOD</t>
  </si>
  <si>
    <t>HYSTERESIS</t>
  </si>
  <si>
    <t>TRIGGER</t>
  </si>
  <si>
    <t>MEAS_TRG_NONE</t>
  </si>
  <si>
    <t>MEAS_TRG_RISING</t>
  </si>
  <si>
    <t>MEAS_TRG_FALLING</t>
  </si>
  <si>
    <t>Raw value</t>
  </si>
  <si>
    <t>Average value</t>
  </si>
  <si>
    <t>Filtered value</t>
  </si>
  <si>
    <t>Trigger condition</t>
  </si>
  <si>
    <t>No trigger</t>
  </si>
  <si>
    <t>TBD</t>
  </si>
  <si>
    <t>Threshold</t>
  </si>
  <si>
    <t>Hysteresis</t>
  </si>
  <si>
    <t>V</t>
  </si>
  <si>
    <t>Rising edge</t>
  </si>
  <si>
    <t>Falling edge</t>
  </si>
  <si>
    <t>Preprocessing mode of signal measurement</t>
  </si>
  <si>
    <t>No filtering</t>
  </si>
  <si>
    <t>FIR filtering</t>
  </si>
  <si>
    <t>Disable triggering</t>
  </si>
  <si>
    <t>Value rising above threshold + hysteresis</t>
  </si>
  <si>
    <t>Value falling below threshold - hysteresis</t>
  </si>
  <si>
    <t>Raw value of analog signal</t>
  </si>
  <si>
    <t>Average value of analgo signal</t>
  </si>
  <si>
    <t>Threshold value for triggering</t>
  </si>
  <si>
    <t>Hysteresis value for triggering</t>
  </si>
  <si>
    <t>GAIN</t>
  </si>
  <si>
    <t>Amplifier gain</t>
  </si>
  <si>
    <t>GAIN_1</t>
  </si>
  <si>
    <t>GAIN_3</t>
  </si>
  <si>
    <t>GAIN_10</t>
  </si>
  <si>
    <t>GAIN_20</t>
  </si>
  <si>
    <t>Gain 1x</t>
  </si>
  <si>
    <t>Gain 3x</t>
  </si>
  <si>
    <t>Gain 10x</t>
  </si>
  <si>
    <t>Gain 20x</t>
  </si>
  <si>
    <t>OFFSET</t>
  </si>
  <si>
    <t>Offset servo</t>
  </si>
  <si>
    <t>Enable DC servo for offset compensation</t>
  </si>
  <si>
    <t>DSP</t>
  </si>
  <si>
    <t>RMS</t>
  </si>
  <si>
    <t>Root mean square</t>
  </si>
  <si>
    <t>RMS of sampled signal</t>
  </si>
  <si>
    <t>Variable gain of main amplifier</t>
  </si>
  <si>
    <t>MEAN</t>
  </si>
  <si>
    <t>Mean</t>
  </si>
  <si>
    <t>Signal´s mean</t>
  </si>
  <si>
    <t>STD</t>
  </si>
  <si>
    <t>Standard deviation</t>
  </si>
  <si>
    <t>VAR</t>
  </si>
  <si>
    <t>Variance</t>
  </si>
  <si>
    <t>Variance of measured signal</t>
  </si>
  <si>
    <t>Standard deviation of measured signal</t>
  </si>
  <si>
    <t>DSP registers (variation,mean,etc)</t>
  </si>
  <si>
    <t>FIR</t>
  </si>
  <si>
    <t>Filtred value</t>
  </si>
  <si>
    <t>FIR filtered value</t>
  </si>
  <si>
    <t>D:\work\gitlab\fw-amplif-filter\Documents\txts\AmplifFilter_Registers.json</t>
  </si>
  <si>
    <t>D:\work\gitlab\fw-amplif-filter\Documents\txts\AmplifFilter_Modbus.json</t>
  </si>
  <si>
    <t>OSC</t>
  </si>
  <si>
    <t>OSCILLOGRAM</t>
  </si>
  <si>
    <t>Oscillogram settings</t>
  </si>
  <si>
    <t>Mode of the oscilogram</t>
  </si>
  <si>
    <t>OSC_DISABLED</t>
  </si>
  <si>
    <t>Disabled</t>
  </si>
  <si>
    <t>Oscilogram is disabled</t>
  </si>
  <si>
    <t>OSC_ONE_SHOT</t>
  </si>
  <si>
    <t>Single acquisition</t>
  </si>
  <si>
    <t>Oscilogram is captured one-time on request</t>
  </si>
  <si>
    <t>OSC_CONTINUOUS</t>
  </si>
  <si>
    <t>Continuous acquisition</t>
  </si>
  <si>
    <t>Oscilogram is being captured and sent continuously (with respect to USB speed)</t>
  </si>
  <si>
    <t>SOURCE</t>
  </si>
  <si>
    <t>Oscillogram source</t>
  </si>
  <si>
    <t>Source channel of the oscillogram</t>
  </si>
  <si>
    <t>OSC_DUMMY</t>
  </si>
  <si>
    <t>Dummy waveform</t>
  </si>
  <si>
    <t>Internal fixed dummy waveform</t>
  </si>
  <si>
    <t>Analog channel 1</t>
  </si>
  <si>
    <t>Key phase marker</t>
  </si>
  <si>
    <t>START</t>
  </si>
  <si>
    <t>Start sampling</t>
  </si>
  <si>
    <t>Non-zero value initiates sampling of the oscillogram. The returned value in RW_RESP packet is zero, because the sampling starts immediately</t>
  </si>
  <si>
    <t>OSC_ANALOG</t>
  </si>
  <si>
    <t>OSC_FILTERED</t>
  </si>
  <si>
    <t>FREQUENCY</t>
  </si>
  <si>
    <t>Sampling frequency</t>
  </si>
  <si>
    <t>D:\work\gitlab\fw-amplif-filter\Documents\txts\AmplifFilter_Define.txt</t>
  </si>
  <si>
    <t>D:\work\gitlab\fw-amplif-filter\Documents\txts\AmplifFilter_Storage.txt</t>
  </si>
  <si>
    <t>D:\work\gitlab\fw-amplif-filter\Documents\txts\AmplifFilter_Factory.txt</t>
  </si>
  <si>
    <t>D:\work\gitlab\fw-amplif-filter\Documents\txts\reg_map.c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</si>
</sst>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7">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3" fillId="0" borderId="0" xfId="0" applyFont="1" applyAlignment="1">
      <alignment horizontal="center" vertical="top"/>
    </xf>
    <xf numFmtId="0" fontId="3" fillId="0" borderId="0" xfId="0" applyFont="1" applyAlignment="1">
      <alignment horizontal="center"/>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center"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07"/>
  <sheetViews>
    <sheetView tabSelected="1" zoomScaleNormal="100" workbookViewId="0">
      <selection activeCell="R11" sqref="R11"/>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321</v>
      </c>
      <c r="T3" s="29"/>
    </row>
    <row r="4" spans="1:26" ht="24.95" customHeight="1" x14ac:dyDescent="0.25">
      <c r="D4" s="29" t="s">
        <v>18</v>
      </c>
      <c r="E4" s="29"/>
      <c r="F4" s="29" t="s">
        <v>113</v>
      </c>
      <c r="J4" s="3" t="s">
        <v>1</v>
      </c>
      <c r="K4" s="9" t="s">
        <v>5</v>
      </c>
      <c r="L4" s="8" t="s">
        <v>318</v>
      </c>
      <c r="M4" s="11"/>
      <c r="U4" s="12" t="s">
        <v>1</v>
      </c>
      <c r="Z4" s="10"/>
    </row>
    <row r="5" spans="1:26" ht="24.95" customHeight="1" x14ac:dyDescent="0.25">
      <c r="D5" s="29" t="s">
        <v>19</v>
      </c>
      <c r="E5" s="29"/>
      <c r="F5" s="29" t="s">
        <v>20</v>
      </c>
      <c r="J5" s="3" t="s">
        <v>1</v>
      </c>
      <c r="K5" s="9" t="s">
        <v>100</v>
      </c>
      <c r="L5" s="8" t="s">
        <v>288</v>
      </c>
      <c r="M5" s="11"/>
      <c r="U5" s="12" t="s">
        <v>1</v>
      </c>
      <c r="Z5" s="10"/>
    </row>
    <row r="6" spans="1:26" ht="24.95" customHeight="1" x14ac:dyDescent="0.25">
      <c r="D6" s="29" t="s">
        <v>63</v>
      </c>
      <c r="E6" s="13"/>
      <c r="F6" s="30">
        <v>1</v>
      </c>
      <c r="J6" s="3" t="s">
        <v>1</v>
      </c>
      <c r="K6" s="9" t="s">
        <v>17</v>
      </c>
      <c r="L6" s="8" t="s">
        <v>319</v>
      </c>
      <c r="M6" s="11"/>
      <c r="U6" s="12" t="s">
        <v>1</v>
      </c>
      <c r="Z6" s="10"/>
    </row>
    <row r="7" spans="1:26" ht="24.95" customHeight="1" x14ac:dyDescent="0.25">
      <c r="D7" s="29" t="s">
        <v>143</v>
      </c>
      <c r="E7" s="13"/>
      <c r="F7" s="29" t="str">
        <f>GetWorkName()</f>
        <v>AmplifFilter</v>
      </c>
      <c r="J7" s="3" t="s">
        <v>1</v>
      </c>
      <c r="K7" s="9" t="s">
        <v>21</v>
      </c>
      <c r="L7" s="8" t="s">
        <v>320</v>
      </c>
      <c r="M7" s="11"/>
      <c r="U7" s="12" t="s">
        <v>1</v>
      </c>
      <c r="Z7" s="10"/>
    </row>
    <row r="8" spans="1:26" ht="24.95" customHeight="1" x14ac:dyDescent="0.25">
      <c r="D8" s="29" t="s">
        <v>117</v>
      </c>
      <c r="E8" s="13"/>
      <c r="F8" s="29" t="str">
        <f>GetPath()&amp;"\..\Firmware\AmplifFilter-App\Core\Common\"</f>
        <v>D:\work\gitlab\fw-amplif-filter\Documents\..\Firmware\AmplifFilter-App\Core\Common\</v>
      </c>
      <c r="J8" s="3" t="s">
        <v>1</v>
      </c>
      <c r="K8" s="9" t="s">
        <v>145</v>
      </c>
      <c r="L8" s="8" t="s">
        <v>289</v>
      </c>
      <c r="M8" s="11"/>
      <c r="U8" s="12" t="s">
        <v>1</v>
      </c>
      <c r="Z8" s="10"/>
    </row>
    <row r="9" spans="1:26" ht="24.95" customHeight="1" x14ac:dyDescent="0.25">
      <c r="D9" s="29" t="s">
        <v>148</v>
      </c>
      <c r="E9" s="13"/>
      <c r="F9" s="29" t="str">
        <f>GetPath()&amp;"\..\Firmware\AmplifFilter-App\Core\Common\"</f>
        <v>D:\work\gitlab\fw-amplif-filter\Documents\..\Firmware\AmplifFilter-App\Core\Common\</v>
      </c>
      <c r="J9" s="3"/>
      <c r="K9" s="9" t="s">
        <v>1</v>
      </c>
      <c r="L9" s="8" t="s">
        <v>221</v>
      </c>
      <c r="M9" s="11"/>
      <c r="Z9" s="10"/>
    </row>
    <row r="10" spans="1:26" ht="24.95" customHeight="1" x14ac:dyDescent="0.25">
      <c r="D10" s="29" t="s">
        <v>153</v>
      </c>
      <c r="E10" s="13"/>
      <c r="F10" s="29" t="str">
        <f>GetPath()&amp;"\..\Tests\AmplifFilter\"</f>
        <v>D:\work\gitlab\fw-amplif-filter\Documents\..\Tests\AmplifFilter\</v>
      </c>
      <c r="K10" s="9" t="s">
        <v>154</v>
      </c>
      <c r="L10" s="8" t="s">
        <v>220</v>
      </c>
      <c r="M10" s="11"/>
    </row>
    <row r="11" spans="1:26" ht="24.75" customHeight="1" x14ac:dyDescent="0.25">
      <c r="D11" s="29" t="s">
        <v>155</v>
      </c>
      <c r="F11" s="29" t="str">
        <f>GetPath()&amp;"\..\Software\SBD\RegMap\json.txt"</f>
        <v>D:\work\gitlab\fw-amplif-filter\Documents\..\Software\SBD\RegMap\json.txt</v>
      </c>
      <c r="K11" s="10"/>
      <c r="M11" s="11"/>
    </row>
    <row r="12" spans="1:26" ht="24.75" customHeight="1" x14ac:dyDescent="0.25">
      <c r="D12" s="29" t="s">
        <v>151</v>
      </c>
      <c r="E12" s="11"/>
      <c r="F12" s="29"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2"/>
      <c r="B16" s="42"/>
      <c r="C16" s="41"/>
      <c r="D16" s="44" t="s">
        <v>8</v>
      </c>
      <c r="E16" s="46" t="s">
        <v>33</v>
      </c>
      <c r="F16" s="39" t="s">
        <v>10</v>
      </c>
      <c r="G16" s="39" t="s">
        <v>39</v>
      </c>
      <c r="H16" s="39" t="s">
        <v>11</v>
      </c>
      <c r="I16" s="44" t="s">
        <v>0</v>
      </c>
      <c r="J16" s="39" t="s">
        <v>13</v>
      </c>
      <c r="K16" s="44" t="s">
        <v>16</v>
      </c>
      <c r="L16" s="44" t="s">
        <v>2</v>
      </c>
      <c r="M16" s="52" t="s">
        <v>134</v>
      </c>
      <c r="N16" s="39" t="s">
        <v>14</v>
      </c>
      <c r="O16" s="49" t="s">
        <v>118</v>
      </c>
      <c r="P16" s="49" t="s">
        <v>119</v>
      </c>
      <c r="Q16" s="49" t="s">
        <v>123</v>
      </c>
      <c r="R16" s="49" t="s">
        <v>149</v>
      </c>
      <c r="S16" s="51" t="s">
        <v>101</v>
      </c>
      <c r="T16" s="48" t="s">
        <v>4</v>
      </c>
    </row>
    <row r="17" spans="1:20" ht="15" customHeight="1" x14ac:dyDescent="0.25">
      <c r="A17" s="43"/>
      <c r="B17" s="43"/>
      <c r="C17" s="41"/>
      <c r="D17" s="45"/>
      <c r="E17" s="47"/>
      <c r="F17" s="40"/>
      <c r="G17" s="40"/>
      <c r="H17" s="40"/>
      <c r="I17" s="45"/>
      <c r="J17" s="40"/>
      <c r="K17" s="45"/>
      <c r="L17" s="45"/>
      <c r="M17" s="53"/>
      <c r="N17" s="45"/>
      <c r="O17" s="50"/>
      <c r="P17" s="50"/>
      <c r="Q17" s="54"/>
      <c r="R17" s="54"/>
      <c r="S17" s="50"/>
      <c r="T17" s="47"/>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8"/>
      <c r="T19" s="2" t="s">
        <v>130</v>
      </c>
    </row>
    <row r="20" spans="1:20" x14ac:dyDescent="0.25">
      <c r="A20" s="32"/>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8"/>
      <c r="O20" s="28"/>
      <c r="P20" s="3"/>
      <c r="Q20" s="28"/>
      <c r="R20" s="28"/>
      <c r="S20" s="32"/>
      <c r="T20" t="s">
        <v>156</v>
      </c>
    </row>
    <row r="21" spans="1:20" x14ac:dyDescent="0.25">
      <c r="A21" s="32"/>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8"/>
      <c r="Q21" s="3"/>
      <c r="R21" s="28"/>
      <c r="T21" s="2" t="s">
        <v>169</v>
      </c>
    </row>
    <row r="22" spans="1:20" x14ac:dyDescent="0.25">
      <c r="A22" s="32"/>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8"/>
      <c r="O22" s="28"/>
      <c r="P22" s="28"/>
      <c r="Q22" s="28"/>
      <c r="R22" s="28"/>
      <c r="S22" s="32"/>
      <c r="T22" t="s">
        <v>164</v>
      </c>
    </row>
    <row r="23" spans="1:20" x14ac:dyDescent="0.25">
      <c r="A23" s="32"/>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8"/>
      <c r="O23" s="28"/>
      <c r="P23" s="28"/>
      <c r="Q23" s="28"/>
      <c r="R23" s="28"/>
      <c r="S23" s="32"/>
      <c r="T23" s="2" t="s">
        <v>174</v>
      </c>
    </row>
    <row r="24" spans="1:20" s="32" customFormat="1" x14ac:dyDescent="0.25">
      <c r="D24" s="38"/>
      <c r="E24"/>
      <c r="F24" s="3" t="s">
        <v>32</v>
      </c>
      <c r="G24" s="3"/>
      <c r="H24" s="3"/>
      <c r="I24" s="31">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8"/>
      <c r="O24" s="28"/>
      <c r="P24" s="28"/>
      <c r="Q24" s="28"/>
      <c r="R24" s="28"/>
      <c r="T24" t="s">
        <v>190</v>
      </c>
    </row>
    <row r="25" spans="1:20" x14ac:dyDescent="0.25">
      <c r="A25" s="32"/>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8">
        <v>16</v>
      </c>
      <c r="O25" s="28"/>
      <c r="P25" s="28"/>
      <c r="Q25" s="28"/>
      <c r="R25" s="28"/>
      <c r="S25" s="32"/>
      <c r="T25" t="s">
        <v>161</v>
      </c>
    </row>
    <row r="26" spans="1:20" x14ac:dyDescent="0.25">
      <c r="A26" s="32"/>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8"/>
      <c r="O26" s="28"/>
      <c r="P26" s="28"/>
      <c r="Q26" s="28"/>
      <c r="R26" s="28"/>
      <c r="S26" s="32"/>
      <c r="T26" s="2" t="s">
        <v>181</v>
      </c>
    </row>
    <row r="27" spans="1:20" s="13" customFormat="1" ht="90" x14ac:dyDescent="0.25">
      <c r="A27" s="34"/>
      <c r="B27" s="12"/>
      <c r="C27" s="12"/>
      <c r="D27" s="14"/>
      <c r="E27" s="35" t="s">
        <v>165</v>
      </c>
      <c r="F27" s="5" t="s">
        <v>32</v>
      </c>
      <c r="G27" s="5" t="s">
        <v>48</v>
      </c>
      <c r="H27" s="5" t="s">
        <v>50</v>
      </c>
      <c r="I27" s="14">
        <f t="shared" si="0"/>
        <v>12</v>
      </c>
      <c r="J27" s="31">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6" t="s">
        <v>166</v>
      </c>
      <c r="N27" s="31"/>
      <c r="O27" s="31">
        <v>0</v>
      </c>
      <c r="P27" s="31">
        <v>9901</v>
      </c>
      <c r="Q27" s="31"/>
      <c r="R27" s="5"/>
      <c r="S27" s="31"/>
      <c r="T27" s="37" t="s">
        <v>178</v>
      </c>
    </row>
    <row r="28" spans="1:20" x14ac:dyDescent="0.25">
      <c r="A28" s="32"/>
      <c r="D28" s="14"/>
      <c r="E28" s="2" t="s">
        <v>146</v>
      </c>
      <c r="F28" s="3" t="s">
        <v>32</v>
      </c>
      <c r="G28" s="5" t="s">
        <v>48</v>
      </c>
      <c r="H28" s="18" t="s">
        <v>50</v>
      </c>
      <c r="I28" s="14">
        <f t="shared" si="0"/>
        <v>16</v>
      </c>
      <c r="J28" s="28">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8"/>
      <c r="T28" s="2" t="s">
        <v>176</v>
      </c>
    </row>
    <row r="29" spans="1:20" s="32" customFormat="1" x14ac:dyDescent="0.25">
      <c r="D29" s="38"/>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8" t="str">
        <f>IF(AND(LEN(E29)&lt;&gt;0,S29=""),F29&amp;"_"&amp;UPPER(E29),"")</f>
        <v>SYS_IO_INPUT</v>
      </c>
      <c r="M29" t="s">
        <v>192</v>
      </c>
      <c r="N29" s="28"/>
      <c r="O29" s="28">
        <v>0</v>
      </c>
      <c r="P29" s="3" t="s">
        <v>209</v>
      </c>
      <c r="Q29" s="28"/>
      <c r="R29" s="28"/>
      <c r="T29" t="s">
        <v>193</v>
      </c>
    </row>
    <row r="30" spans="1:20" x14ac:dyDescent="0.25">
      <c r="A30" s="32"/>
      <c r="D30" s="14"/>
      <c r="E30" s="2" t="s">
        <v>41</v>
      </c>
      <c r="F30" s="3" t="s">
        <v>32</v>
      </c>
      <c r="G30" s="5" t="s">
        <v>48</v>
      </c>
      <c r="H30" s="18" t="s">
        <v>50</v>
      </c>
      <c r="I30" s="14">
        <f t="shared" si="0"/>
        <v>22</v>
      </c>
      <c r="J30" s="28">
        <v>2</v>
      </c>
      <c r="K30" s="10" t="str">
        <f xml:space="preserve"> IFERROR("0x" &amp; DEC2HEX(VLOOKUP(F30,Common!$C$10:$D$34,2,FALSE),2) &amp; DEC2HEX(I30,3) &amp; DEC2HEX(VLOOKUP(G30,Common!$C$51:$D$55,2,FALSE),1) &amp; DEC2HEX(1+2*VLOOKUP(H30,Common!$C$69:$D$72,2,FALSE),1) &amp; DEC2HEX(IFERROR(LOG(J30,2),0),1),0)</f>
        <v>0x00016151</v>
      </c>
      <c r="L30" s="28" t="str">
        <f>IF(AND(LEN(E30)&lt;&gt;0,S30=""),F30&amp;"_"&amp;UPPER(E30),"")</f>
        <v>SYS_ERROR</v>
      </c>
      <c r="M30" s="2" t="s">
        <v>203</v>
      </c>
      <c r="Q30" s="28"/>
      <c r="R30" s="3"/>
      <c r="S30" s="28"/>
      <c r="T30" s="33"/>
    </row>
    <row r="31" spans="1:20" x14ac:dyDescent="0.25">
      <c r="A31" s="32"/>
      <c r="D31" s="14"/>
      <c r="E31" t="s">
        <v>206</v>
      </c>
      <c r="F31" s="3" t="s">
        <v>32</v>
      </c>
      <c r="G31" s="3" t="s">
        <v>48</v>
      </c>
      <c r="H31" s="3" t="s">
        <v>45</v>
      </c>
      <c r="I31" s="31">
        <f t="shared" si="0"/>
        <v>24</v>
      </c>
      <c r="J31" s="28">
        <v>4</v>
      </c>
      <c r="K31" s="10" t="str">
        <f xml:space="preserve"> IFERROR("0x" &amp; DEC2HEX(VLOOKUP(F31,Common!$C$10:$D$34,2,FALSE),2) &amp; DEC2HEX(I31,3) &amp; DEC2HEX(VLOOKUP(G31,Common!$C$51:$D$55,2,FALSE),1) &amp; DEC2HEX(1+2*VLOOKUP(H31,Common!$C$69:$D$72,2,FALSE),1) &amp; DEC2HEX(IFERROR(LOG(J31,2),0),1),0)</f>
        <v>0x00018112</v>
      </c>
      <c r="L31" s="28" t="str">
        <f>IF(AND(LEN(E31)&lt;&gt;0,S31=""),F31&amp;"_"&amp;UPPER(E31),"")</f>
        <v>SYS_TICK</v>
      </c>
      <c r="M31" t="s">
        <v>207</v>
      </c>
      <c r="N31" s="28"/>
      <c r="O31" s="28"/>
      <c r="P31" s="28"/>
      <c r="Q31" s="3" t="s">
        <v>205</v>
      </c>
      <c r="R31" s="28"/>
      <c r="S31" s="32"/>
      <c r="T31" t="s">
        <v>208</v>
      </c>
    </row>
    <row r="32" spans="1:20" x14ac:dyDescent="0.25">
      <c r="D32" s="14"/>
      <c r="K32" s="10"/>
      <c r="R32" s="3"/>
    </row>
    <row r="33" spans="1:35" x14ac:dyDescent="0.25">
      <c r="A33" s="32"/>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8"/>
      <c r="T33" t="s">
        <v>125</v>
      </c>
    </row>
    <row r="34" spans="1:35" x14ac:dyDescent="0.25">
      <c r="A34" s="32"/>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8"/>
      <c r="T34" t="s">
        <v>177</v>
      </c>
    </row>
    <row r="35" spans="1:35" x14ac:dyDescent="0.25">
      <c r="A35" s="32"/>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8"/>
      <c r="T35" t="s">
        <v>171</v>
      </c>
    </row>
    <row r="36" spans="1:35" x14ac:dyDescent="0.25">
      <c r="A36" s="32"/>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8"/>
      <c r="T36" t="s">
        <v>126</v>
      </c>
    </row>
    <row r="37" spans="1:35" x14ac:dyDescent="0.25">
      <c r="D37" s="14"/>
      <c r="E37" s="11"/>
      <c r="F37" s="14"/>
      <c r="G37" s="5"/>
      <c r="H37" s="18"/>
      <c r="I37" s="14"/>
      <c r="J37" s="14"/>
      <c r="K37" s="10"/>
      <c r="M37"/>
      <c r="O37" s="3"/>
      <c r="P37" s="3"/>
      <c r="R37" s="28"/>
      <c r="T37"/>
    </row>
    <row r="38" spans="1:35" ht="15" customHeight="1" x14ac:dyDescent="0.25">
      <c r="A38" s="32"/>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8">
        <v>1</v>
      </c>
      <c r="P38" s="10">
        <v>999</v>
      </c>
      <c r="R38" s="28"/>
      <c r="T38" t="s">
        <v>127</v>
      </c>
    </row>
    <row r="39" spans="1:35" x14ac:dyDescent="0.25">
      <c r="A39" s="32"/>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8">
        <v>20250401</v>
      </c>
      <c r="P39" s="28">
        <v>20300330</v>
      </c>
      <c r="R39" s="28"/>
      <c r="T39" t="s">
        <v>128</v>
      </c>
    </row>
    <row r="40" spans="1:35" x14ac:dyDescent="0.25">
      <c r="A40" s="32"/>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8"/>
      <c r="T40" t="s">
        <v>42</v>
      </c>
    </row>
    <row r="41" spans="1:35" x14ac:dyDescent="0.25">
      <c r="A41" s="32"/>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8"/>
      <c r="T41" t="s">
        <v>129</v>
      </c>
    </row>
    <row r="42" spans="1:35" x14ac:dyDescent="0.25">
      <c r="D42" s="15"/>
      <c r="E42" s="2"/>
      <c r="F42" s="5"/>
      <c r="G42" s="5"/>
      <c r="H42" s="18"/>
      <c r="I42" s="14"/>
      <c r="J42" s="14"/>
      <c r="K42" s="10"/>
      <c r="L42" s="3"/>
      <c r="M42"/>
      <c r="R42" s="28"/>
      <c r="T42"/>
    </row>
    <row r="44" spans="1:35" s="10" customFormat="1" x14ac:dyDescent="0.25">
      <c r="A44" s="12"/>
      <c r="B44" s="12"/>
      <c r="C44" s="12"/>
      <c r="D44"/>
      <c r="E44" s="24"/>
      <c r="F44" s="23"/>
      <c r="G44" s="23"/>
      <c r="H44" s="26"/>
      <c r="I44" s="22"/>
      <c r="J44" s="22"/>
      <c r="K44" s="22"/>
      <c r="L44" s="22"/>
      <c r="M44" s="21"/>
      <c r="N44" s="22"/>
      <c r="O44" s="22"/>
      <c r="P44" s="22"/>
      <c r="Q44" s="23"/>
      <c r="R44" s="23"/>
      <c r="S44" s="22"/>
      <c r="T44" s="21"/>
      <c r="U44"/>
      <c r="V44"/>
      <c r="W44"/>
      <c r="X44"/>
      <c r="Y44"/>
      <c r="Z44" s="12"/>
      <c r="AA44" s="12"/>
      <c r="AB44" s="12"/>
      <c r="AC44" s="12"/>
      <c r="AD44" s="12"/>
      <c r="AE44" s="12"/>
      <c r="AF44" s="12"/>
      <c r="AG44" s="12"/>
      <c r="AH44" s="12"/>
      <c r="AI44" s="12"/>
    </row>
    <row r="45" spans="1:35" s="32" customFormat="1" x14ac:dyDescent="0.25">
      <c r="D45" s="38"/>
      <c r="E45" s="2" t="s">
        <v>195</v>
      </c>
      <c r="F45" s="3" t="s">
        <v>196</v>
      </c>
      <c r="G45" s="3" t="s">
        <v>48</v>
      </c>
      <c r="H45" s="3" t="s">
        <v>45</v>
      </c>
      <c r="I45" s="28">
        <v>0</v>
      </c>
      <c r="J45" s="28">
        <v>4</v>
      </c>
      <c r="K45" s="10" t="str">
        <f xml:space="preserve"> IFERROR("0x" &amp; DEC2HEX(VLOOKUP(F45,Common!$C$10:$D$34,2,FALSE),2) &amp; DEC2HEX(I45,3) &amp; DEC2HEX(VLOOKUP(G45,Common!$C$51:$D$55,2,FALSE),1) &amp; DEC2HEX(1+2*VLOOKUP(H45,Common!$C$69:$D$72,2,FALSE),1) &amp; DEC2HEX(IFERROR(LOG(J45,2),0),1),0)</f>
        <v>0x07000112</v>
      </c>
      <c r="L45" s="28" t="str">
        <f>IF(AND(LEN(E45)&lt;&gt;0,S45=""),F45&amp;"_"&amp;UPPER(E45),"")</f>
        <v>DBG_WRITES_CONF</v>
      </c>
      <c r="M45" t="s">
        <v>197</v>
      </c>
      <c r="N45" s="28"/>
      <c r="O45" s="28">
        <v>0</v>
      </c>
      <c r="P45" s="28">
        <v>1000000</v>
      </c>
      <c r="Q45" s="3" t="s">
        <v>198</v>
      </c>
      <c r="R45" s="28"/>
      <c r="S45" s="28"/>
      <c r="T45" t="s">
        <v>199</v>
      </c>
    </row>
    <row r="46" spans="1:35" s="10" customFormat="1" x14ac:dyDescent="0.25">
      <c r="A46" s="12"/>
      <c r="B46" s="12"/>
      <c r="C46" s="12"/>
      <c r="D46"/>
      <c r="E46" s="24"/>
      <c r="F46" s="23"/>
      <c r="G46" s="23"/>
      <c r="H46" s="26"/>
      <c r="I46" s="22"/>
      <c r="J46" s="22"/>
      <c r="K46" s="22"/>
      <c r="L46" s="22"/>
      <c r="M46" s="21"/>
      <c r="N46" s="22"/>
      <c r="O46" s="22"/>
      <c r="P46" s="22"/>
      <c r="Q46" s="23"/>
      <c r="R46" s="23"/>
      <c r="S46" s="22"/>
      <c r="T46" s="21"/>
      <c r="U46"/>
      <c r="V46"/>
      <c r="W46"/>
      <c r="X46"/>
      <c r="Y46"/>
      <c r="Z46" s="12"/>
      <c r="AA46" s="12"/>
      <c r="AB46" s="12"/>
      <c r="AC46" s="12"/>
      <c r="AD46" s="12"/>
      <c r="AE46" s="12"/>
      <c r="AF46" s="12"/>
      <c r="AG46" s="12"/>
      <c r="AH46" s="12"/>
      <c r="AI46" s="12"/>
    </row>
    <row r="47" spans="1:35" s="10" customFormat="1" x14ac:dyDescent="0.25">
      <c r="A47" s="12"/>
      <c r="B47" s="12"/>
      <c r="C47" s="12"/>
      <c r="D47"/>
      <c r="E47" s="24"/>
      <c r="F47" s="23"/>
      <c r="G47" s="23"/>
      <c r="H47" s="26"/>
      <c r="I47" s="22"/>
      <c r="J47" s="22"/>
      <c r="K47" s="22"/>
      <c r="L47" s="22"/>
      <c r="M47" s="21"/>
      <c r="N47" s="22"/>
      <c r="O47" s="22"/>
      <c r="P47" s="22"/>
      <c r="Q47" s="23"/>
      <c r="R47" s="23"/>
      <c r="S47" s="22"/>
      <c r="T47" s="21"/>
      <c r="U47"/>
      <c r="V47"/>
      <c r="W47"/>
      <c r="X47"/>
      <c r="Y47"/>
      <c r="Z47" s="12"/>
      <c r="AA47" s="12"/>
      <c r="AB47" s="12"/>
      <c r="AC47" s="12"/>
      <c r="AD47" s="12"/>
      <c r="AE47" s="12"/>
      <c r="AF47" s="12"/>
      <c r="AG47" s="12"/>
      <c r="AH47" s="12"/>
      <c r="AI47" s="12"/>
    </row>
    <row r="48" spans="1:35" s="10" customFormat="1" x14ac:dyDescent="0.25">
      <c r="A48" s="12"/>
      <c r="B48" s="12"/>
      <c r="C48" s="12"/>
      <c r="D48"/>
      <c r="E48" s="24"/>
      <c r="F48" s="23"/>
      <c r="G48" s="23"/>
      <c r="H48" s="26"/>
      <c r="I48" s="27"/>
      <c r="J48" s="22"/>
      <c r="L48" s="28"/>
      <c r="M48" s="21"/>
      <c r="N48" s="22"/>
      <c r="O48" s="22"/>
      <c r="P48" s="22"/>
      <c r="Q48" s="23"/>
      <c r="R48" s="23"/>
      <c r="S48" s="22"/>
      <c r="T48" s="21"/>
      <c r="U48"/>
      <c r="V48"/>
      <c r="W48"/>
      <c r="X48"/>
      <c r="Y48"/>
      <c r="Z48" s="12"/>
      <c r="AA48" s="12"/>
      <c r="AB48" s="12"/>
      <c r="AC48" s="12"/>
      <c r="AD48" s="12"/>
      <c r="AE48" s="12"/>
      <c r="AF48" s="12"/>
      <c r="AG48" s="12"/>
      <c r="AH48" s="12"/>
      <c r="AI48" s="12"/>
    </row>
    <row r="49" spans="1:35" s="10" customFormat="1" x14ac:dyDescent="0.25">
      <c r="A49" s="12"/>
      <c r="B49" s="12"/>
      <c r="C49" s="12"/>
      <c r="D49"/>
      <c r="E49" s="2" t="s">
        <v>200</v>
      </c>
      <c r="F49" s="3" t="s">
        <v>182</v>
      </c>
      <c r="G49" s="5" t="s">
        <v>48</v>
      </c>
      <c r="H49" s="18" t="s">
        <v>50</v>
      </c>
      <c r="I49" s="31">
        <v>0</v>
      </c>
      <c r="J49" s="28">
        <v>2</v>
      </c>
      <c r="K49" s="10" t="str">
        <f xml:space="preserve"> IFERROR("0x" &amp; DEC2HEX(VLOOKUP(F49,Common!$C$10:$D$34,2,FALSE),2) &amp; DEC2HEX(I49,3) &amp; DEC2HEX(VLOOKUP(G49,Common!$C$51:$D$55,2,FALSE),1) &amp; DEC2HEX(1+2*VLOOKUP(H49,Common!$C$69:$D$72,2,FALSE),1) &amp; DEC2HEX(IFERROR(LOG(J49,2),0),1),0)</f>
        <v>0x04000151</v>
      </c>
      <c r="L49" s="28" t="str">
        <f>IF(AND(LEN(E49)&lt;&gt;0,S49=""),F49&amp;"_"&amp;UPPER(E49),"")</f>
        <v>CALIB_MODE</v>
      </c>
      <c r="M49" t="s">
        <v>201</v>
      </c>
      <c r="N49" s="28">
        <v>0</v>
      </c>
      <c r="O49" s="28">
        <v>0</v>
      </c>
      <c r="P49" s="28">
        <v>24</v>
      </c>
      <c r="Q49" s="28"/>
      <c r="R49" s="28"/>
      <c r="S49" s="3"/>
      <c r="T49" t="s">
        <v>204</v>
      </c>
      <c r="U49"/>
      <c r="V49"/>
      <c r="W49"/>
      <c r="X49"/>
      <c r="Y49"/>
      <c r="Z49" s="12"/>
      <c r="AA49" s="12"/>
      <c r="AB49" s="12"/>
      <c r="AC49" s="12"/>
      <c r="AD49" s="12"/>
      <c r="AE49" s="12"/>
      <c r="AF49" s="12"/>
      <c r="AG49" s="12"/>
      <c r="AH49" s="12"/>
      <c r="AI49" s="12"/>
    </row>
    <row r="50" spans="1:35" s="10" customFormat="1" x14ac:dyDescent="0.25">
      <c r="A50" s="12"/>
      <c r="B50" s="12"/>
      <c r="C50" s="12"/>
      <c r="D50"/>
      <c r="E50" s="2" t="s">
        <v>194</v>
      </c>
      <c r="F50" s="3" t="s">
        <v>182</v>
      </c>
      <c r="G50" s="5" t="s">
        <v>48</v>
      </c>
      <c r="H50" s="18" t="s">
        <v>50</v>
      </c>
      <c r="I50" s="31">
        <f xml:space="preserve"> I49+J49</f>
        <v>2</v>
      </c>
      <c r="J50" s="28">
        <v>2</v>
      </c>
      <c r="K50" s="10" t="str">
        <f xml:space="preserve"> IFERROR("0x" &amp; DEC2HEX(VLOOKUP(F50,Common!$C$10:$D$34,2,FALSE),2) &amp; DEC2HEX(I50,3) &amp; DEC2HEX(VLOOKUP(G50,Common!$C$51:$D$55,2,FALSE),1) &amp; DEC2HEX(1+2*VLOOKUP(H50,Common!$C$69:$D$72,2,FALSE),1) &amp; DEC2HEX(IFERROR(LOG(J50,2),0),1),0)</f>
        <v>0x04002151</v>
      </c>
      <c r="L50" s="28" t="str">
        <f t="shared" ref="L50" si="2">IF(AND(LEN(E50)&lt;&gt;0,S50=""),F50&amp;"_"&amp;UPPER(E50),"")</f>
        <v>CALIB_RESERVED</v>
      </c>
      <c r="M50" t="s">
        <v>89</v>
      </c>
      <c r="N50" s="28"/>
      <c r="O50" s="28"/>
      <c r="P50" s="28"/>
      <c r="Q50" s="28"/>
      <c r="R50" s="28"/>
      <c r="S50" s="3"/>
      <c r="T50" t="s">
        <v>52</v>
      </c>
      <c r="U50"/>
      <c r="V50"/>
      <c r="W50"/>
      <c r="X50"/>
      <c r="Y50"/>
      <c r="Z50" s="12"/>
      <c r="AA50" s="12"/>
      <c r="AB50" s="12"/>
      <c r="AC50" s="12"/>
      <c r="AD50" s="12"/>
      <c r="AE50" s="12"/>
      <c r="AF50" s="12"/>
      <c r="AG50" s="12"/>
      <c r="AH50" s="12"/>
      <c r="AI50" s="12"/>
    </row>
    <row r="51" spans="1:35" s="10" customFormat="1" x14ac:dyDescent="0.25">
      <c r="A51" s="12"/>
      <c r="B51" s="12"/>
      <c r="C51" s="12"/>
      <c r="D51"/>
      <c r="E51" s="24"/>
      <c r="F51" s="23"/>
      <c r="G51" s="23"/>
      <c r="H51" s="26"/>
      <c r="I51" s="27"/>
      <c r="J51" s="22"/>
      <c r="L51" s="28"/>
      <c r="M51" s="21"/>
      <c r="N51" s="22"/>
      <c r="O51" s="22"/>
      <c r="P51" s="22"/>
      <c r="Q51" s="23"/>
      <c r="R51" s="23"/>
      <c r="S51" s="22"/>
      <c r="T51" s="21"/>
      <c r="U51"/>
      <c r="V51"/>
      <c r="W51"/>
      <c r="X51"/>
      <c r="Y51"/>
      <c r="Z51" s="12"/>
      <c r="AA51" s="12"/>
      <c r="AB51" s="12"/>
      <c r="AC51" s="12"/>
      <c r="AD51" s="12"/>
      <c r="AE51" s="12"/>
      <c r="AF51" s="12"/>
      <c r="AG51" s="12"/>
      <c r="AH51" s="12"/>
      <c r="AI51" s="12"/>
    </row>
    <row r="52" spans="1:35" s="10" customFormat="1" x14ac:dyDescent="0.25">
      <c r="A52" s="12"/>
      <c r="B52" s="12"/>
      <c r="C52" s="12"/>
      <c r="D52"/>
      <c r="E52" s="24"/>
      <c r="F52" s="23"/>
      <c r="G52" s="23"/>
      <c r="H52" s="26"/>
      <c r="I52" s="27"/>
      <c r="J52" s="22"/>
      <c r="L52" s="28"/>
      <c r="M52" s="21"/>
      <c r="N52" s="22"/>
      <c r="O52" s="22"/>
      <c r="P52" s="22"/>
      <c r="Q52" s="23"/>
      <c r="R52" s="23"/>
      <c r="S52" s="22"/>
      <c r="T52" s="21"/>
      <c r="U52"/>
      <c r="V52"/>
      <c r="W52"/>
      <c r="X52"/>
      <c r="Y52"/>
      <c r="Z52" s="12"/>
      <c r="AA52" s="12"/>
      <c r="AB52" s="12"/>
      <c r="AC52" s="12"/>
      <c r="AD52" s="12"/>
      <c r="AE52" s="12"/>
      <c r="AF52" s="12"/>
      <c r="AG52" s="12"/>
      <c r="AH52" s="12"/>
      <c r="AI52" s="12"/>
    </row>
    <row r="53" spans="1:35" s="10" customFormat="1" x14ac:dyDescent="0.25">
      <c r="A53" s="12"/>
      <c r="B53" s="12"/>
      <c r="C53" s="12"/>
      <c r="D53"/>
      <c r="E53" s="24"/>
      <c r="F53" s="23"/>
      <c r="G53" s="23"/>
      <c r="H53" s="26"/>
      <c r="I53" s="27"/>
      <c r="J53" s="22"/>
      <c r="L53" s="28"/>
      <c r="M53" s="21"/>
      <c r="N53" s="22"/>
      <c r="O53" s="22"/>
      <c r="P53" s="22"/>
      <c r="Q53" s="23"/>
      <c r="R53" s="23"/>
      <c r="S53" s="22"/>
      <c r="T53" s="21"/>
      <c r="U53"/>
      <c r="V53"/>
      <c r="W53"/>
      <c r="X53"/>
      <c r="Y53"/>
      <c r="Z53" s="12"/>
      <c r="AA53" s="12"/>
      <c r="AB53" s="12"/>
      <c r="AC53" s="12"/>
      <c r="AD53" s="12"/>
      <c r="AE53" s="12"/>
      <c r="AF53" s="12"/>
      <c r="AG53" s="12"/>
      <c r="AH53" s="12"/>
      <c r="AI53" s="12"/>
    </row>
    <row r="54" spans="1:35" s="10" customFormat="1" x14ac:dyDescent="0.25">
      <c r="A54" s="12"/>
      <c r="B54" s="12"/>
      <c r="C54" s="12"/>
      <c r="D54"/>
      <c r="E54" t="s">
        <v>210</v>
      </c>
      <c r="F54" s="3" t="s">
        <v>222</v>
      </c>
      <c r="G54" s="3" t="s">
        <v>114</v>
      </c>
      <c r="H54" s="3" t="s">
        <v>50</v>
      </c>
      <c r="I54" s="31">
        <f xml:space="preserve"> I53+J53</f>
        <v>0</v>
      </c>
      <c r="J54" s="28">
        <v>1</v>
      </c>
      <c r="K54" s="10" t="str">
        <f xml:space="preserve"> IFERROR("0x" &amp; DEC2HEX(VLOOKUP(F54,Common!$C$10:$D$34,2,FALSE),2) &amp; DEC2HEX(I54,3) &amp; DEC2HEX(VLOOKUP(G54,Common!$C$51:$D$55,2,FALSE),1) &amp; DEC2HEX(1+2*VLOOKUP(H54,Common!$C$69:$D$72,2,FALSE),1) &amp; DEC2HEX(IFERROR(LOG(J54,2),0),1),0)</f>
        <v>0x05000550</v>
      </c>
      <c r="L54" s="28" t="str">
        <f t="shared" ref="L54" si="3">IF(AND(LEN(E54)&lt;&gt;0,S54=""),F54&amp;"_"&amp;UPPER(E54),"")</f>
        <v>MEAS_ENABLE</v>
      </c>
      <c r="M54" t="s">
        <v>211</v>
      </c>
      <c r="N54" s="28">
        <v>1</v>
      </c>
      <c r="O54" s="28">
        <v>0</v>
      </c>
      <c r="P54" s="28">
        <v>1</v>
      </c>
      <c r="Q54" s="28"/>
      <c r="R54" s="3" t="s">
        <v>212</v>
      </c>
      <c r="S54" s="32"/>
      <c r="T54" t="s">
        <v>213</v>
      </c>
      <c r="U54"/>
      <c r="V54"/>
      <c r="W54"/>
      <c r="X54"/>
      <c r="Y54"/>
      <c r="Z54" s="12"/>
      <c r="AA54" s="12"/>
      <c r="AB54" s="12"/>
      <c r="AC54" s="12"/>
      <c r="AD54" s="12"/>
      <c r="AE54" s="12"/>
      <c r="AF54" s="12"/>
      <c r="AG54" s="12"/>
      <c r="AH54" s="12"/>
      <c r="AI54" s="12"/>
    </row>
    <row r="55" spans="1:35" s="10" customFormat="1" x14ac:dyDescent="0.25">
      <c r="A55" s="12"/>
      <c r="B55" s="12"/>
      <c r="C55" s="12"/>
      <c r="D55"/>
      <c r="E55"/>
      <c r="F55" s="3" t="s">
        <v>222</v>
      </c>
      <c r="G55" s="3"/>
      <c r="H55" s="3"/>
      <c r="I55" s="31">
        <f t="shared" ref="I55:I66" si="4" xml:space="preserve"> I54+J54</f>
        <v>1</v>
      </c>
      <c r="J55" s="28"/>
      <c r="K55" s="10">
        <f xml:space="preserve"> IFERROR("0x" &amp; DEC2HEX(VLOOKUP(F55,Common!$C$10:$D$34,2,FALSE),2) &amp; DEC2HEX(I55,3) &amp; DEC2HEX(VLOOKUP(G55,Common!$C$51:$D$55,2,FALSE),1) &amp; DEC2HEX(1+2*VLOOKUP(H55,Common!$C$69:$D$72,2,FALSE),1) &amp; DEC2HEX(IFERROR(LOG(J55,2),0),1),0)</f>
        <v>0</v>
      </c>
      <c r="L55" s="3" t="s">
        <v>214</v>
      </c>
      <c r="M55" t="s">
        <v>215</v>
      </c>
      <c r="N55" s="28"/>
      <c r="O55" s="28"/>
      <c r="P55" s="28"/>
      <c r="Q55" s="28"/>
      <c r="R55" s="3"/>
      <c r="S55" s="32"/>
      <c r="T55" t="s">
        <v>216</v>
      </c>
      <c r="U55"/>
      <c r="V55"/>
      <c r="W55"/>
      <c r="X55"/>
      <c r="Y55"/>
      <c r="Z55" s="12"/>
      <c r="AA55" s="12"/>
      <c r="AB55" s="12"/>
      <c r="AC55" s="12"/>
      <c r="AD55" s="12"/>
      <c r="AE55" s="12"/>
      <c r="AF55" s="12"/>
      <c r="AG55" s="12"/>
      <c r="AH55" s="12"/>
      <c r="AI55" s="12"/>
    </row>
    <row r="56" spans="1:35" s="10" customFormat="1" x14ac:dyDescent="0.25">
      <c r="A56" s="12"/>
      <c r="B56" s="12"/>
      <c r="C56" s="12"/>
      <c r="D56"/>
      <c r="E56"/>
      <c r="F56" s="3" t="s">
        <v>222</v>
      </c>
      <c r="G56" s="3"/>
      <c r="H56" s="3"/>
      <c r="I56" s="31">
        <f t="shared" si="4"/>
        <v>1</v>
      </c>
      <c r="J56" s="28"/>
      <c r="K56" s="10">
        <f xml:space="preserve"> IFERROR("0x" &amp; DEC2HEX(VLOOKUP(F56,Common!$C$10:$D$34,2,FALSE),2) &amp; DEC2HEX(I56,3) &amp; DEC2HEX(VLOOKUP(G56,Common!$C$51:$D$55,2,FALSE),1) &amp; DEC2HEX(1+2*VLOOKUP(H56,Common!$C$69:$D$72,2,FALSE),1) &amp; DEC2HEX(IFERROR(LOG(J56,2),0),1),0)</f>
        <v>0</v>
      </c>
      <c r="L56" s="3" t="s">
        <v>217</v>
      </c>
      <c r="M56" t="s">
        <v>218</v>
      </c>
      <c r="N56" s="28"/>
      <c r="O56" s="28"/>
      <c r="P56" s="28"/>
      <c r="Q56" s="28"/>
      <c r="R56" s="3"/>
      <c r="S56" s="32"/>
      <c r="T56" t="s">
        <v>219</v>
      </c>
      <c r="U56"/>
      <c r="V56"/>
      <c r="W56"/>
      <c r="X56"/>
      <c r="Y56"/>
      <c r="Z56" s="12"/>
      <c r="AA56" s="12"/>
      <c r="AB56" s="12"/>
      <c r="AC56" s="12"/>
      <c r="AD56" s="12"/>
      <c r="AE56" s="12"/>
      <c r="AF56" s="12"/>
      <c r="AG56" s="12"/>
      <c r="AH56" s="12"/>
      <c r="AI56" s="12"/>
    </row>
    <row r="57" spans="1:35" s="10" customFormat="1" x14ac:dyDescent="0.25">
      <c r="A57" s="12"/>
      <c r="B57" s="12"/>
      <c r="C57" s="12"/>
      <c r="D57"/>
      <c r="E57" t="s">
        <v>200</v>
      </c>
      <c r="F57" s="3" t="s">
        <v>222</v>
      </c>
      <c r="G57" s="3" t="s">
        <v>114</v>
      </c>
      <c r="H57" s="3" t="s">
        <v>50</v>
      </c>
      <c r="I57" s="31">
        <f t="shared" si="4"/>
        <v>1</v>
      </c>
      <c r="J57" s="28">
        <v>1</v>
      </c>
      <c r="K57" s="10" t="str">
        <f xml:space="preserve"> IFERROR("0x" &amp; DEC2HEX(VLOOKUP(F57,Common!$C$10:$D$34,2,FALSE),2) &amp; DEC2HEX(I57,3) &amp; DEC2HEX(VLOOKUP(G57,Common!$C$51:$D$55,2,FALSE),1) &amp; DEC2HEX(1+2*VLOOKUP(H57,Common!$C$69:$D$72,2,FALSE),1) &amp; DEC2HEX(IFERROR(LOG(J57,2),0),1),0)</f>
        <v>0x05001550</v>
      </c>
      <c r="L57" s="28" t="str">
        <f t="shared" ref="L57" si="5">IF(AND(LEN(E57)&lt;&gt;0,S57=""),F57&amp;"_"&amp;UPPER(E57),"")</f>
        <v>MEAS_MODE</v>
      </c>
      <c r="M57" t="s">
        <v>227</v>
      </c>
      <c r="N57" s="28">
        <v>0</v>
      </c>
      <c r="O57" s="28"/>
      <c r="P57" s="28"/>
      <c r="Q57" s="28"/>
      <c r="R57" s="28"/>
      <c r="S57" s="32"/>
      <c r="T57" t="s">
        <v>247</v>
      </c>
      <c r="U57"/>
      <c r="V57"/>
      <c r="W57"/>
      <c r="X57"/>
      <c r="Y57"/>
      <c r="Z57" s="12"/>
      <c r="AA57" s="12"/>
      <c r="AB57" s="12"/>
      <c r="AC57" s="12"/>
      <c r="AD57" s="12"/>
      <c r="AE57" s="12"/>
      <c r="AF57" s="12"/>
      <c r="AG57" s="12"/>
      <c r="AH57" s="12"/>
      <c r="AI57" s="12"/>
    </row>
    <row r="58" spans="1:35" s="10" customFormat="1" x14ac:dyDescent="0.25">
      <c r="A58" s="12"/>
      <c r="B58" s="12"/>
      <c r="C58" s="12"/>
      <c r="D58"/>
      <c r="E58"/>
      <c r="F58" s="3" t="s">
        <v>222</v>
      </c>
      <c r="G58" s="3"/>
      <c r="H58" s="3"/>
      <c r="I58" s="31">
        <f t="shared" si="4"/>
        <v>2</v>
      </c>
      <c r="J58" s="28"/>
      <c r="L58" s="3" t="s">
        <v>225</v>
      </c>
      <c r="M58" t="s">
        <v>236</v>
      </c>
      <c r="N58" s="28"/>
      <c r="O58" s="28"/>
      <c r="P58" s="28"/>
      <c r="Q58" s="28"/>
      <c r="R58" s="28"/>
      <c r="S58" s="32"/>
      <c r="T58" t="s">
        <v>248</v>
      </c>
      <c r="U58"/>
      <c r="V58"/>
      <c r="W58"/>
      <c r="X58"/>
      <c r="Y58"/>
      <c r="Z58" s="12"/>
      <c r="AA58" s="12"/>
      <c r="AB58" s="12"/>
      <c r="AC58" s="12"/>
      <c r="AD58" s="12"/>
      <c r="AE58" s="12"/>
      <c r="AF58" s="12"/>
      <c r="AG58" s="12"/>
      <c r="AH58" s="12"/>
      <c r="AI58" s="12"/>
    </row>
    <row r="59" spans="1:35" s="10" customFormat="1" x14ac:dyDescent="0.25">
      <c r="A59" s="12"/>
      <c r="B59" s="12"/>
      <c r="C59" s="12"/>
      <c r="D59"/>
      <c r="E59"/>
      <c r="F59" s="3" t="s">
        <v>222</v>
      </c>
      <c r="G59" s="3"/>
      <c r="H59" s="3"/>
      <c r="I59" s="31">
        <f t="shared" si="4"/>
        <v>2</v>
      </c>
      <c r="J59" s="28"/>
      <c r="L59" s="3" t="s">
        <v>226</v>
      </c>
      <c r="M59" t="s">
        <v>238</v>
      </c>
      <c r="N59" s="28"/>
      <c r="O59" s="28"/>
      <c r="P59" s="28"/>
      <c r="Q59" s="28"/>
      <c r="R59" s="28"/>
      <c r="S59" s="32"/>
      <c r="T59" t="s">
        <v>249</v>
      </c>
      <c r="U59"/>
      <c r="V59"/>
      <c r="W59"/>
      <c r="X59"/>
      <c r="Y59"/>
      <c r="Z59" s="12"/>
      <c r="AA59" s="12"/>
      <c r="AB59" s="12"/>
      <c r="AC59" s="12"/>
      <c r="AD59" s="12"/>
      <c r="AE59" s="12"/>
      <c r="AF59" s="12"/>
      <c r="AG59" s="12"/>
      <c r="AH59" s="12"/>
      <c r="AI59" s="12"/>
    </row>
    <row r="60" spans="1:35" s="10" customFormat="1" x14ac:dyDescent="0.25">
      <c r="A60" s="12"/>
      <c r="B60" s="12"/>
      <c r="C60" s="12"/>
      <c r="D60"/>
      <c r="E60" t="s">
        <v>232</v>
      </c>
      <c r="F60" s="3" t="s">
        <v>222</v>
      </c>
      <c r="G60" s="3" t="s">
        <v>114</v>
      </c>
      <c r="H60" s="3" t="s">
        <v>50</v>
      </c>
      <c r="I60" s="31">
        <f t="shared" ref="I60:I64" si="6" xml:space="preserve"> I59+J59</f>
        <v>2</v>
      </c>
      <c r="J60" s="28">
        <v>1</v>
      </c>
      <c r="K60" s="10" t="str">
        <f xml:space="preserve"> IFERROR("0x" &amp; DEC2HEX(VLOOKUP(F60,Common!$C$10:$D$34,2,FALSE),2) &amp; DEC2HEX(I60,3) &amp; DEC2HEX(VLOOKUP(G60,Common!$C$51:$D$55,2,FALSE),1) &amp; DEC2HEX(1+2*VLOOKUP(H60,Common!$C$69:$D$72,2,FALSE),1) &amp; DEC2HEX(IFERROR(LOG(J60,2),0),1),0)</f>
        <v>0x05002550</v>
      </c>
      <c r="L60" s="28" t="str">
        <f t="shared" ref="L60" si="7">IF(AND(LEN(E60)&lt;&gt;0,S60=""),F60&amp;"_"&amp;UPPER(E60),"")</f>
        <v>MEAS_TRIGGER</v>
      </c>
      <c r="M60" t="s">
        <v>239</v>
      </c>
      <c r="N60" s="28">
        <v>0</v>
      </c>
      <c r="O60" s="28"/>
      <c r="P60" s="28"/>
      <c r="Q60" s="28"/>
      <c r="R60" s="28"/>
      <c r="S60" s="32"/>
      <c r="T60" t="s">
        <v>239</v>
      </c>
      <c r="U60"/>
      <c r="V60"/>
      <c r="W60"/>
      <c r="X60"/>
      <c r="Y60"/>
      <c r="Z60" s="12"/>
      <c r="AA60" s="12"/>
      <c r="AB60" s="12"/>
      <c r="AC60" s="12"/>
      <c r="AD60" s="12"/>
      <c r="AE60" s="12"/>
      <c r="AF60" s="12"/>
      <c r="AG60" s="12"/>
      <c r="AH60" s="12"/>
      <c r="AI60" s="12"/>
    </row>
    <row r="61" spans="1:35" s="10" customFormat="1" x14ac:dyDescent="0.25">
      <c r="A61" s="12"/>
      <c r="B61" s="12"/>
      <c r="C61" s="12"/>
      <c r="D61"/>
      <c r="E61"/>
      <c r="F61" s="3" t="s">
        <v>222</v>
      </c>
      <c r="G61" s="3"/>
      <c r="H61" s="3"/>
      <c r="I61" s="31">
        <f t="shared" si="6"/>
        <v>3</v>
      </c>
      <c r="J61" s="28"/>
      <c r="L61" s="28" t="s">
        <v>233</v>
      </c>
      <c r="M61" t="s">
        <v>240</v>
      </c>
      <c r="N61" s="28"/>
      <c r="O61" s="28"/>
      <c r="P61" s="28"/>
      <c r="Q61" s="28"/>
      <c r="R61" s="28"/>
      <c r="S61" s="32"/>
      <c r="T61" t="s">
        <v>250</v>
      </c>
      <c r="U61"/>
      <c r="V61"/>
      <c r="W61"/>
      <c r="X61"/>
      <c r="Y61"/>
      <c r="Z61" s="12"/>
      <c r="AA61" s="12"/>
      <c r="AB61" s="12"/>
      <c r="AC61" s="12"/>
      <c r="AD61" s="12"/>
      <c r="AE61" s="12"/>
      <c r="AF61" s="12"/>
      <c r="AG61" s="12"/>
      <c r="AH61" s="12"/>
      <c r="AI61" s="12"/>
    </row>
    <row r="62" spans="1:35" s="10" customFormat="1" ht="14.25" customHeight="1" x14ac:dyDescent="0.25">
      <c r="A62" s="12"/>
      <c r="B62" s="12"/>
      <c r="C62" s="12"/>
      <c r="D62"/>
      <c r="E62"/>
      <c r="F62" s="3" t="s">
        <v>222</v>
      </c>
      <c r="G62" s="3"/>
      <c r="H62" s="3"/>
      <c r="I62" s="31">
        <f t="shared" si="6"/>
        <v>3</v>
      </c>
      <c r="J62" s="28"/>
      <c r="L62" s="3" t="s">
        <v>234</v>
      </c>
      <c r="M62" t="s">
        <v>245</v>
      </c>
      <c r="N62" s="28"/>
      <c r="O62" s="28"/>
      <c r="P62" s="28"/>
      <c r="Q62" s="28"/>
      <c r="R62" s="28"/>
      <c r="S62" s="32"/>
      <c r="T62" t="s">
        <v>251</v>
      </c>
      <c r="U62"/>
      <c r="V62"/>
      <c r="W62"/>
      <c r="X62"/>
      <c r="Y62"/>
      <c r="Z62" s="12"/>
      <c r="AA62" s="12"/>
      <c r="AB62" s="12"/>
      <c r="AC62" s="12"/>
      <c r="AD62" s="12"/>
      <c r="AE62" s="12"/>
      <c r="AF62" s="12"/>
      <c r="AG62" s="12"/>
      <c r="AH62" s="12"/>
      <c r="AI62" s="12"/>
    </row>
    <row r="63" spans="1:35" s="10" customFormat="1" x14ac:dyDescent="0.25">
      <c r="A63" s="12"/>
      <c r="B63" s="12"/>
      <c r="C63" s="12"/>
      <c r="D63"/>
      <c r="E63"/>
      <c r="F63" s="3" t="s">
        <v>222</v>
      </c>
      <c r="G63" s="3"/>
      <c r="H63" s="3"/>
      <c r="I63" s="31">
        <f t="shared" si="6"/>
        <v>3</v>
      </c>
      <c r="J63" s="28"/>
      <c r="L63" s="3" t="s">
        <v>235</v>
      </c>
      <c r="M63" t="s">
        <v>246</v>
      </c>
      <c r="N63" s="28"/>
      <c r="O63" s="28"/>
      <c r="P63" s="28"/>
      <c r="Q63" s="28"/>
      <c r="R63" s="28"/>
      <c r="S63" s="32"/>
      <c r="T63" t="s">
        <v>252</v>
      </c>
      <c r="U63"/>
      <c r="V63"/>
      <c r="W63"/>
      <c r="X63"/>
      <c r="Y63"/>
      <c r="Z63" s="12"/>
      <c r="AA63" s="12"/>
      <c r="AB63" s="12"/>
      <c r="AC63" s="12"/>
      <c r="AD63" s="12"/>
      <c r="AE63" s="12"/>
      <c r="AF63" s="12"/>
      <c r="AG63" s="12"/>
      <c r="AH63" s="12"/>
      <c r="AI63" s="12"/>
    </row>
    <row r="64" spans="1:35" s="10" customFormat="1" x14ac:dyDescent="0.25">
      <c r="A64" s="12"/>
      <c r="B64" s="12"/>
      <c r="C64" s="12"/>
      <c r="D64"/>
      <c r="E64" t="s">
        <v>194</v>
      </c>
      <c r="F64" s="3" t="s">
        <v>222</v>
      </c>
      <c r="G64" s="3" t="s">
        <v>48</v>
      </c>
      <c r="H64" s="3" t="s">
        <v>50</v>
      </c>
      <c r="I64" s="31">
        <f t="shared" si="6"/>
        <v>3</v>
      </c>
      <c r="J64" s="28">
        <v>1</v>
      </c>
      <c r="K64" s="10" t="str">
        <f xml:space="preserve"> IFERROR("0x" &amp; DEC2HEX(VLOOKUP(F64,Common!$C$10:$D$34,2,FALSE),2) &amp; DEC2HEX(I64,3) &amp; DEC2HEX(VLOOKUP(G64,Common!$C$51:$D$55,2,FALSE),1) &amp; DEC2HEX(1+2*VLOOKUP(H64,Common!$C$69:$D$72,2,FALSE),1) &amp; DEC2HEX(IFERROR(LOG(J64,2),0),1),0)</f>
        <v>0x05003150</v>
      </c>
      <c r="L64" s="28" t="str">
        <f t="shared" ref="L64:L69" si="8">IF(AND(LEN(E64)&lt;&gt;0,S64=""),F64&amp;"_"&amp;UPPER(E64),"")</f>
        <v>MEAS_RESERVED</v>
      </c>
      <c r="M64" t="s">
        <v>241</v>
      </c>
      <c r="N64" s="28"/>
      <c r="O64" s="28"/>
      <c r="P64" s="28"/>
      <c r="Q64" s="28"/>
      <c r="R64" s="3"/>
      <c r="S64" s="32"/>
      <c r="T64"/>
      <c r="U64"/>
      <c r="V64"/>
      <c r="W64"/>
      <c r="X64"/>
      <c r="Y64"/>
      <c r="Z64" s="12"/>
      <c r="AA64" s="12"/>
      <c r="AB64" s="12"/>
      <c r="AC64" s="12"/>
      <c r="AD64" s="12"/>
      <c r="AE64" s="12"/>
      <c r="AF64" s="12"/>
      <c r="AG64" s="12"/>
      <c r="AH64" s="12"/>
      <c r="AI64" s="12"/>
    </row>
    <row r="65" spans="1:35" s="10" customFormat="1" x14ac:dyDescent="0.25">
      <c r="A65" s="12"/>
      <c r="B65" s="12"/>
      <c r="C65" s="12"/>
      <c r="D65"/>
      <c r="E65" t="s">
        <v>228</v>
      </c>
      <c r="F65" s="3" t="s">
        <v>222</v>
      </c>
      <c r="G65" s="3" t="s">
        <v>49</v>
      </c>
      <c r="H65" s="3" t="s">
        <v>45</v>
      </c>
      <c r="I65" s="31">
        <f t="shared" si="4"/>
        <v>4</v>
      </c>
      <c r="J65" s="28">
        <v>4</v>
      </c>
      <c r="K65" s="10" t="str">
        <f xml:space="preserve"> IFERROR("0x" &amp; DEC2HEX(VLOOKUP(F65,Common!$C$10:$D$34,2,FALSE),2) &amp; DEC2HEX(I65,3) &amp; DEC2HEX(VLOOKUP(G65,Common!$C$51:$D$55,2,FALSE),1) &amp; DEC2HEX(1+2*VLOOKUP(H65,Common!$C$69:$D$72,2,FALSE),1) &amp; DEC2HEX(IFERROR(LOG(J65,2),0),1),0)</f>
        <v>0x05004212</v>
      </c>
      <c r="L65" s="28" t="str">
        <f t="shared" si="8"/>
        <v>MEAS_RAW</v>
      </c>
      <c r="M65" t="s">
        <v>236</v>
      </c>
      <c r="N65" s="28"/>
      <c r="O65" s="28">
        <v>-10</v>
      </c>
      <c r="P65" s="3">
        <v>10</v>
      </c>
      <c r="Q65" s="28" t="s">
        <v>244</v>
      </c>
      <c r="R65" s="28"/>
      <c r="S65" s="28"/>
      <c r="T65" t="s">
        <v>253</v>
      </c>
      <c r="U65"/>
      <c r="V65"/>
      <c r="W65"/>
      <c r="X65"/>
      <c r="Y65"/>
      <c r="Z65" s="12"/>
      <c r="AA65" s="12"/>
      <c r="AB65" s="12"/>
      <c r="AC65" s="12"/>
      <c r="AD65" s="12"/>
      <c r="AE65" s="12"/>
      <c r="AF65" s="12"/>
      <c r="AG65" s="12"/>
      <c r="AH65" s="12"/>
      <c r="AI65" s="12"/>
    </row>
    <row r="66" spans="1:35" s="10" customFormat="1" x14ac:dyDescent="0.25">
      <c r="A66" s="12"/>
      <c r="B66" s="12"/>
      <c r="C66" s="12"/>
      <c r="D66"/>
      <c r="E66" t="s">
        <v>229</v>
      </c>
      <c r="F66" s="3" t="s">
        <v>222</v>
      </c>
      <c r="G66" s="3" t="s">
        <v>49</v>
      </c>
      <c r="H66" s="3" t="s">
        <v>45</v>
      </c>
      <c r="I66" s="31">
        <f t="shared" si="4"/>
        <v>8</v>
      </c>
      <c r="J66" s="28">
        <v>4</v>
      </c>
      <c r="K66" s="10" t="str">
        <f xml:space="preserve"> IFERROR("0x" &amp; DEC2HEX(VLOOKUP(F66,Common!$C$10:$D$34,2,FALSE),2) &amp; DEC2HEX(I66,3) &amp; DEC2HEX(VLOOKUP(G66,Common!$C$51:$D$55,2,FALSE),1) &amp; DEC2HEX(1+2*VLOOKUP(H66,Common!$C$69:$D$72,2,FALSE),1) &amp; DEC2HEX(IFERROR(LOG(J66,2),0),1),0)</f>
        <v>0x05008212</v>
      </c>
      <c r="L66" s="28" t="str">
        <f t="shared" si="8"/>
        <v>MEAS_AVERAGE</v>
      </c>
      <c r="M66" t="s">
        <v>237</v>
      </c>
      <c r="N66" s="28"/>
      <c r="O66" s="28">
        <v>-10</v>
      </c>
      <c r="P66" s="3">
        <v>10</v>
      </c>
      <c r="Q66" s="28" t="s">
        <v>244</v>
      </c>
      <c r="R66" s="28"/>
      <c r="S66" s="28"/>
      <c r="T66" t="s">
        <v>254</v>
      </c>
      <c r="U66"/>
      <c r="V66"/>
      <c r="W66"/>
      <c r="X66"/>
      <c r="Y66"/>
      <c r="Z66" s="12"/>
      <c r="AA66" s="12"/>
      <c r="AB66" s="12"/>
      <c r="AC66" s="12"/>
      <c r="AD66" s="12"/>
      <c r="AE66" s="12"/>
      <c r="AF66" s="12"/>
      <c r="AG66" s="12"/>
      <c r="AH66" s="12"/>
      <c r="AI66" s="12"/>
    </row>
    <row r="67" spans="1:35" s="10" customFormat="1" x14ac:dyDescent="0.25">
      <c r="A67" s="12"/>
      <c r="B67" s="12"/>
      <c r="C67" s="12"/>
      <c r="D67"/>
      <c r="E67" t="s">
        <v>230</v>
      </c>
      <c r="F67" s="3" t="s">
        <v>222</v>
      </c>
      <c r="G67" s="3" t="s">
        <v>49</v>
      </c>
      <c r="H67" s="3" t="s">
        <v>50</v>
      </c>
      <c r="I67" s="31">
        <f t="shared" ref="I67:I68" si="9" xml:space="preserve"> I66+J66</f>
        <v>12</v>
      </c>
      <c r="J67" s="28">
        <v>4</v>
      </c>
      <c r="K67" s="10" t="str">
        <f xml:space="preserve"> IFERROR("0x" &amp; DEC2HEX(VLOOKUP(F67,Common!$C$10:$D$34,2,FALSE),2) &amp; DEC2HEX(I67,3) &amp; DEC2HEX(VLOOKUP(G67,Common!$C$51:$D$55,2,FALSE),1) &amp; DEC2HEX(1+2*VLOOKUP(H67,Common!$C$69:$D$72,2,FALSE),1) &amp; DEC2HEX(IFERROR(LOG(J67,2),0),1),0)</f>
        <v>0x0500C252</v>
      </c>
      <c r="L67" s="28" t="str">
        <f t="shared" si="8"/>
        <v>MEAS_THRESHLOD</v>
      </c>
      <c r="M67" t="s">
        <v>242</v>
      </c>
      <c r="N67" s="28">
        <v>0</v>
      </c>
      <c r="O67" s="28">
        <v>-10</v>
      </c>
      <c r="P67" s="3">
        <v>10</v>
      </c>
      <c r="Q67" s="28" t="s">
        <v>244</v>
      </c>
      <c r="R67" s="28"/>
      <c r="S67" s="28"/>
      <c r="T67" t="s">
        <v>255</v>
      </c>
      <c r="U67"/>
      <c r="V67"/>
      <c r="W67"/>
      <c r="X67"/>
      <c r="Y67"/>
      <c r="Z67" s="12"/>
      <c r="AA67" s="12"/>
      <c r="AB67" s="12"/>
      <c r="AC67" s="12"/>
      <c r="AD67" s="12"/>
      <c r="AE67" s="12"/>
      <c r="AF67" s="12"/>
      <c r="AG67" s="12"/>
      <c r="AH67" s="12"/>
      <c r="AI67" s="12"/>
    </row>
    <row r="68" spans="1:35" s="10" customFormat="1" x14ac:dyDescent="0.25">
      <c r="A68" s="12"/>
      <c r="B68" s="12"/>
      <c r="C68" s="12"/>
      <c r="D68"/>
      <c r="E68" t="s">
        <v>231</v>
      </c>
      <c r="F68" s="3" t="s">
        <v>222</v>
      </c>
      <c r="G68" s="3" t="s">
        <v>49</v>
      </c>
      <c r="H68" s="3" t="s">
        <v>50</v>
      </c>
      <c r="I68" s="31">
        <f t="shared" si="9"/>
        <v>16</v>
      </c>
      <c r="J68" s="28">
        <v>4</v>
      </c>
      <c r="K68" s="10" t="str">
        <f xml:space="preserve"> IFERROR("0x" &amp; DEC2HEX(VLOOKUP(F68,Common!$C$10:$D$34,2,FALSE),2) &amp; DEC2HEX(I68,3) &amp; DEC2HEX(VLOOKUP(G68,Common!$C$51:$D$55,2,FALSE),1) &amp; DEC2HEX(1+2*VLOOKUP(H68,Common!$C$69:$D$72,2,FALSE),1) &amp; DEC2HEX(IFERROR(LOG(J68,2),0),1),0)</f>
        <v>0x05010252</v>
      </c>
      <c r="L68" s="28" t="str">
        <f t="shared" si="8"/>
        <v>MEAS_HYSTERESIS</v>
      </c>
      <c r="M68" t="s">
        <v>243</v>
      </c>
      <c r="N68" s="28">
        <v>0</v>
      </c>
      <c r="O68" s="28">
        <v>0</v>
      </c>
      <c r="P68" s="3">
        <v>10</v>
      </c>
      <c r="Q68" s="28" t="s">
        <v>244</v>
      </c>
      <c r="R68" s="28"/>
      <c r="S68" s="28"/>
      <c r="T68" t="s">
        <v>256</v>
      </c>
      <c r="U68"/>
      <c r="V68"/>
      <c r="W68"/>
      <c r="X68"/>
      <c r="Y68"/>
      <c r="Z68" s="12"/>
      <c r="AA68" s="12"/>
      <c r="AB68" s="12"/>
      <c r="AC68" s="12"/>
      <c r="AD68" s="12"/>
      <c r="AE68" s="12"/>
      <c r="AF68" s="12"/>
      <c r="AG68" s="12"/>
      <c r="AH68" s="12"/>
      <c r="AI68" s="12"/>
    </row>
    <row r="69" spans="1:35" s="10" customFormat="1" x14ac:dyDescent="0.25">
      <c r="A69" s="12"/>
      <c r="B69" s="12"/>
      <c r="C69" s="12"/>
      <c r="D69"/>
      <c r="E69" t="s">
        <v>257</v>
      </c>
      <c r="F69" s="3" t="s">
        <v>222</v>
      </c>
      <c r="G69" s="3" t="s">
        <v>114</v>
      </c>
      <c r="H69" s="3" t="s">
        <v>47</v>
      </c>
      <c r="I69" s="31">
        <v>20</v>
      </c>
      <c r="J69" s="28">
        <v>1</v>
      </c>
      <c r="K69" s="10" t="str">
        <f xml:space="preserve"> IFERROR("0x" &amp; DEC2HEX(VLOOKUP(F69,Common!$C$10:$D$34,2,FALSE),2) &amp; DEC2HEX(I69,3) &amp; DEC2HEX(VLOOKUP(G69,Common!$C$51:$D$55,2,FALSE),1) &amp; DEC2HEX(1+2*VLOOKUP(H69,Common!$C$69:$D$72,2,FALSE),1) &amp; DEC2HEX(IFERROR(LOG(J69,2),0),1),0)</f>
        <v>0x05014570</v>
      </c>
      <c r="L69" s="3" t="str">
        <f t="shared" si="8"/>
        <v>MEAS_GAIN</v>
      </c>
      <c r="M69" t="s">
        <v>258</v>
      </c>
      <c r="N69" s="28">
        <v>0</v>
      </c>
      <c r="O69" s="28">
        <v>0</v>
      </c>
      <c r="P69" s="3">
        <v>3</v>
      </c>
      <c r="Q69" s="28"/>
      <c r="R69" s="28"/>
      <c r="S69" s="28"/>
      <c r="T69" t="s">
        <v>274</v>
      </c>
      <c r="U69"/>
      <c r="V69"/>
      <c r="W69"/>
      <c r="X69"/>
      <c r="Y69"/>
      <c r="Z69" s="12"/>
      <c r="AA69" s="12"/>
      <c r="AB69" s="12"/>
      <c r="AC69" s="12"/>
      <c r="AD69" s="12"/>
      <c r="AE69" s="12"/>
      <c r="AF69" s="12"/>
      <c r="AG69" s="12"/>
      <c r="AH69" s="12"/>
      <c r="AI69" s="12"/>
    </row>
    <row r="70" spans="1:35" s="10" customFormat="1" x14ac:dyDescent="0.25">
      <c r="A70" s="12"/>
      <c r="B70" s="12"/>
      <c r="C70" s="12"/>
      <c r="D70"/>
      <c r="E70"/>
      <c r="F70" s="3" t="s">
        <v>222</v>
      </c>
      <c r="G70" s="3"/>
      <c r="H70" s="3"/>
      <c r="I70" s="31">
        <v>21</v>
      </c>
      <c r="J70" s="28"/>
      <c r="K70" s="10">
        <f xml:space="preserve"> IFERROR("0x" &amp; DEC2HEX(VLOOKUP(F70,Common!$C$10:$D$34,2,FALSE),2) &amp; DEC2HEX(I70,3) &amp; DEC2HEX(VLOOKUP(G70,Common!$C$51:$D$55,2,FALSE),1) &amp; DEC2HEX(1+2*VLOOKUP(H70,Common!$C$69:$D$72,2,FALSE),1) &amp; DEC2HEX(IFERROR(LOG(J70,2),0),1),0)</f>
        <v>0</v>
      </c>
      <c r="L70" s="3" t="s">
        <v>259</v>
      </c>
      <c r="M70" t="s">
        <v>263</v>
      </c>
      <c r="N70" s="28"/>
      <c r="O70" s="28"/>
      <c r="P70" s="3"/>
      <c r="Q70" s="28"/>
      <c r="R70" s="28"/>
      <c r="S70" s="28"/>
      <c r="T70"/>
      <c r="U70"/>
      <c r="V70"/>
      <c r="W70"/>
      <c r="X70"/>
      <c r="Y70"/>
      <c r="Z70" s="12"/>
      <c r="AA70" s="12"/>
      <c r="AB70" s="12"/>
      <c r="AC70" s="12"/>
      <c r="AD70" s="12"/>
      <c r="AE70" s="12"/>
      <c r="AF70" s="12"/>
      <c r="AG70" s="12"/>
      <c r="AH70" s="12"/>
      <c r="AI70" s="12"/>
    </row>
    <row r="71" spans="1:35" s="10" customFormat="1" x14ac:dyDescent="0.25">
      <c r="A71" s="12"/>
      <c r="B71" s="12"/>
      <c r="C71" s="12"/>
      <c r="D71"/>
      <c r="E71"/>
      <c r="F71" s="3" t="s">
        <v>222</v>
      </c>
      <c r="G71" s="3"/>
      <c r="H71" s="3"/>
      <c r="I71" s="31">
        <v>21</v>
      </c>
      <c r="J71" s="28"/>
      <c r="K71" s="10">
        <f xml:space="preserve"> IFERROR("0x" &amp; DEC2HEX(VLOOKUP(F71,Common!$C$10:$D$34,2,FALSE),2) &amp; DEC2HEX(I71,3) &amp; DEC2HEX(VLOOKUP(G71,Common!$C$51:$D$55,2,FALSE),1) &amp; DEC2HEX(1+2*VLOOKUP(H71,Common!$C$69:$D$72,2,FALSE),1) &amp; DEC2HEX(IFERROR(LOG(J71,2),0),1),0)</f>
        <v>0</v>
      </c>
      <c r="L71" s="3" t="s">
        <v>260</v>
      </c>
      <c r="M71" t="s">
        <v>264</v>
      </c>
      <c r="N71" s="28"/>
      <c r="O71" s="28"/>
      <c r="P71" s="3"/>
      <c r="Q71" s="28"/>
      <c r="R71" s="28"/>
      <c r="S71" s="28"/>
      <c r="T71"/>
      <c r="U71"/>
      <c r="V71"/>
      <c r="W71"/>
      <c r="X71"/>
      <c r="Y71"/>
      <c r="Z71" s="12"/>
      <c r="AA71" s="12"/>
      <c r="AB71" s="12"/>
      <c r="AC71" s="12"/>
      <c r="AD71" s="12"/>
      <c r="AE71" s="12"/>
      <c r="AF71" s="12"/>
      <c r="AG71" s="12"/>
      <c r="AH71" s="12"/>
      <c r="AI71" s="12"/>
    </row>
    <row r="72" spans="1:35" s="10" customFormat="1" x14ac:dyDescent="0.25">
      <c r="A72" s="12"/>
      <c r="B72" s="12"/>
      <c r="C72" s="12"/>
      <c r="D72"/>
      <c r="E72"/>
      <c r="F72" s="3" t="s">
        <v>222</v>
      </c>
      <c r="G72" s="3"/>
      <c r="H72" s="3"/>
      <c r="I72" s="31">
        <v>21</v>
      </c>
      <c r="J72" s="28"/>
      <c r="K72" s="10">
        <f xml:space="preserve"> IFERROR("0x" &amp; DEC2HEX(VLOOKUP(F72,Common!$C$10:$D$34,2,FALSE),2) &amp; DEC2HEX(I72,3) &amp; DEC2HEX(VLOOKUP(G72,Common!$C$51:$D$55,2,FALSE),1) &amp; DEC2HEX(1+2*VLOOKUP(H72,Common!$C$69:$D$72,2,FALSE),1) &amp; DEC2HEX(IFERROR(LOG(J72,2),0),1),0)</f>
        <v>0</v>
      </c>
      <c r="L72" s="28" t="s">
        <v>261</v>
      </c>
      <c r="M72" t="s">
        <v>265</v>
      </c>
      <c r="N72" s="28"/>
      <c r="O72" s="28"/>
      <c r="P72" s="28"/>
      <c r="Q72" s="3"/>
      <c r="R72" s="28"/>
      <c r="S72" s="28"/>
      <c r="T72"/>
      <c r="U72"/>
      <c r="V72"/>
      <c r="W72"/>
      <c r="X72"/>
      <c r="Y72"/>
      <c r="Z72" s="12"/>
      <c r="AA72" s="12"/>
      <c r="AB72" s="12"/>
      <c r="AC72" s="12"/>
      <c r="AD72" s="12"/>
      <c r="AE72" s="12"/>
      <c r="AF72" s="12"/>
      <c r="AG72" s="12"/>
      <c r="AH72" s="12"/>
      <c r="AI72" s="12"/>
    </row>
    <row r="73" spans="1:35" s="10" customFormat="1" x14ac:dyDescent="0.25">
      <c r="A73" s="12"/>
      <c r="B73" s="12"/>
      <c r="C73" s="12"/>
      <c r="D73"/>
      <c r="E73" s="24"/>
      <c r="F73" s="23" t="s">
        <v>222</v>
      </c>
      <c r="G73" s="23"/>
      <c r="H73" s="26"/>
      <c r="I73" s="27">
        <v>21</v>
      </c>
      <c r="J73" s="27"/>
      <c r="K73" s="10">
        <f xml:space="preserve"> IFERROR("0x" &amp; DEC2HEX(VLOOKUP(F73,Common!$C$10:$D$34,2,FALSE),2) &amp; DEC2HEX(I73,3) &amp; DEC2HEX(VLOOKUP(G73,Common!$C$51:$D$55,2,FALSE),1) &amp; DEC2HEX(1+2*VLOOKUP(H73,Common!$C$69:$D$72,2,FALSE),1) &amp; DEC2HEX(IFERROR(LOG(J73,2),0),1),0)</f>
        <v>0</v>
      </c>
      <c r="L73" s="28" t="s">
        <v>262</v>
      </c>
      <c r="M73" s="21" t="s">
        <v>266</v>
      </c>
      <c r="N73" s="22"/>
      <c r="O73" s="22"/>
      <c r="P73" s="22"/>
      <c r="Q73" s="23"/>
      <c r="R73" s="23"/>
      <c r="S73" s="22"/>
      <c r="T73" s="21"/>
      <c r="U73"/>
      <c r="V73"/>
      <c r="W73"/>
      <c r="X73"/>
      <c r="Y73"/>
      <c r="Z73" s="12"/>
      <c r="AA73" s="12"/>
      <c r="AB73" s="12"/>
      <c r="AC73" s="12"/>
      <c r="AD73" s="12"/>
      <c r="AE73" s="12"/>
      <c r="AF73" s="12"/>
      <c r="AG73" s="12"/>
      <c r="AH73" s="12"/>
      <c r="AI73" s="12"/>
    </row>
    <row r="74" spans="1:35" s="10" customFormat="1" x14ac:dyDescent="0.25">
      <c r="A74" s="12"/>
      <c r="B74" s="12"/>
      <c r="C74" s="12"/>
      <c r="D74"/>
      <c r="E74" s="24" t="s">
        <v>267</v>
      </c>
      <c r="F74" s="23" t="s">
        <v>222</v>
      </c>
      <c r="G74" s="23" t="s">
        <v>48</v>
      </c>
      <c r="H74" s="26" t="s">
        <v>50</v>
      </c>
      <c r="I74" s="27">
        <f>I69+J69</f>
        <v>21</v>
      </c>
      <c r="J74" s="27">
        <v>4</v>
      </c>
      <c r="K74" s="10" t="str">
        <f xml:space="preserve"> IFERROR("0x" &amp; DEC2HEX(VLOOKUP(F74,Common!$C$10:$D$34,2,FALSE),2) &amp; DEC2HEX(I74,3) &amp; DEC2HEX(VLOOKUP(G74,Common!$C$51:$D$55,2,FALSE),1) &amp; DEC2HEX(1+2*VLOOKUP(H74,Common!$C$69:$D$72,2,FALSE),1) &amp; DEC2HEX(IFERROR(LOG(J74,2),0),1),0)</f>
        <v>0x05015152</v>
      </c>
      <c r="L74" s="3" t="str">
        <f>IF(AND(LEN(E74)&lt;&gt;0,S74=""),F74&amp;"_"&amp;UPPER(E74),"")</f>
        <v>MEAS_OFFSET</v>
      </c>
      <c r="M74" s="21" t="s">
        <v>268</v>
      </c>
      <c r="N74" s="22">
        <v>0</v>
      </c>
      <c r="O74" s="22">
        <v>0</v>
      </c>
      <c r="P74" s="22">
        <v>1</v>
      </c>
      <c r="Q74" s="23"/>
      <c r="R74" s="23"/>
      <c r="S74" s="22"/>
      <c r="T74" s="21" t="s">
        <v>269</v>
      </c>
      <c r="U74"/>
      <c r="V74"/>
      <c r="W74"/>
      <c r="X74"/>
      <c r="Y74"/>
      <c r="Z74" s="12"/>
      <c r="AA74" s="12"/>
      <c r="AB74" s="12"/>
      <c r="AC74" s="12"/>
      <c r="AD74" s="12"/>
      <c r="AE74" s="12"/>
      <c r="AF74" s="12"/>
      <c r="AG74" s="12"/>
      <c r="AH74" s="12"/>
      <c r="AI74" s="12"/>
    </row>
    <row r="75" spans="1:35" s="10" customFormat="1" x14ac:dyDescent="0.25">
      <c r="A75" s="12"/>
      <c r="B75" s="12"/>
      <c r="C75" s="12"/>
      <c r="D75"/>
      <c r="E75" s="24"/>
      <c r="F75" s="23"/>
      <c r="G75" s="23"/>
      <c r="H75" s="26"/>
      <c r="I75" s="27"/>
      <c r="J75" s="27"/>
      <c r="L75" s="3"/>
      <c r="M75" s="21"/>
      <c r="N75" s="22"/>
      <c r="O75" s="22"/>
      <c r="P75" s="22"/>
      <c r="Q75" s="23"/>
      <c r="R75" s="23"/>
      <c r="S75" s="22"/>
      <c r="T75" s="21"/>
      <c r="U75"/>
      <c r="V75"/>
      <c r="W75"/>
      <c r="X75"/>
      <c r="Y75"/>
      <c r="Z75" s="12"/>
      <c r="AA75" s="12"/>
      <c r="AB75" s="12"/>
      <c r="AC75" s="12"/>
      <c r="AD75" s="12"/>
      <c r="AE75" s="12"/>
      <c r="AF75" s="12"/>
      <c r="AG75" s="12"/>
      <c r="AH75" s="12"/>
      <c r="AI75" s="12"/>
    </row>
    <row r="76" spans="1:35" s="10" customFormat="1" x14ac:dyDescent="0.25">
      <c r="A76" s="12"/>
      <c r="B76" s="12"/>
      <c r="C76" s="12"/>
      <c r="D76"/>
      <c r="E76" s="24" t="s">
        <v>271</v>
      </c>
      <c r="F76" s="23" t="s">
        <v>270</v>
      </c>
      <c r="G76" s="23" t="s">
        <v>49</v>
      </c>
      <c r="H76" s="26" t="s">
        <v>50</v>
      </c>
      <c r="I76" s="27">
        <v>0</v>
      </c>
      <c r="J76" s="27">
        <v>4</v>
      </c>
      <c r="K76" s="10" t="str">
        <f xml:space="preserve"> IFERROR("0x" &amp; DEC2HEX(VLOOKUP(F76,Common!$C$10:$D$34,2,FALSE),2) &amp; DEC2HEX(I76,3) &amp; DEC2HEX(VLOOKUP(G76,Common!$C$51:$D$55,2,FALSE),1) &amp; DEC2HEX(1+2*VLOOKUP(H76,Common!$C$69:$D$72,2,FALSE),1) &amp; DEC2HEX(IFERROR(LOG(J76,2),0),1),0)</f>
        <v>0x06000252</v>
      </c>
      <c r="L76" s="3" t="str">
        <f>IF(AND(LEN(E76)&lt;&gt;0,S76=""),F76&amp;"_"&amp;UPPER(E76),"")</f>
        <v>DSP_RMS</v>
      </c>
      <c r="M76" s="21" t="s">
        <v>272</v>
      </c>
      <c r="N76" s="22">
        <v>0</v>
      </c>
      <c r="O76" s="22">
        <v>0</v>
      </c>
      <c r="P76" s="22">
        <v>10</v>
      </c>
      <c r="Q76" s="23" t="s">
        <v>244</v>
      </c>
      <c r="R76" s="23"/>
      <c r="S76" s="22"/>
      <c r="T76" s="21" t="s">
        <v>273</v>
      </c>
      <c r="U76"/>
      <c r="V76"/>
      <c r="W76"/>
      <c r="X76"/>
      <c r="Y76"/>
      <c r="Z76" s="12"/>
      <c r="AA76" s="12"/>
      <c r="AB76" s="12"/>
      <c r="AC76" s="12"/>
      <c r="AD76" s="12"/>
      <c r="AE76" s="12"/>
      <c r="AF76" s="12"/>
      <c r="AG76" s="12"/>
      <c r="AH76" s="12"/>
      <c r="AI76" s="12"/>
    </row>
    <row r="77" spans="1:35" s="10" customFormat="1" x14ac:dyDescent="0.25">
      <c r="A77" s="12"/>
      <c r="B77" s="12"/>
      <c r="C77" s="12"/>
      <c r="D77"/>
      <c r="E77" s="24" t="s">
        <v>275</v>
      </c>
      <c r="F77" s="23" t="s">
        <v>270</v>
      </c>
      <c r="G77" s="23" t="s">
        <v>49</v>
      </c>
      <c r="H77" s="26" t="s">
        <v>50</v>
      </c>
      <c r="I77" s="22">
        <f>I76+J76</f>
        <v>4</v>
      </c>
      <c r="J77" s="22">
        <v>4</v>
      </c>
      <c r="K77" s="10" t="str">
        <f xml:space="preserve"> IFERROR("0x" &amp; DEC2HEX(VLOOKUP(F77,Common!$C$10:$D$34,2,FALSE),2) &amp; DEC2HEX(I77,3) &amp; DEC2HEX(VLOOKUP(G77,Common!$C$51:$D$55,2,FALSE),1) &amp; DEC2HEX(1+2*VLOOKUP(H77,Common!$C$69:$D$72,2,FALSE),1) &amp; DEC2HEX(IFERROR(LOG(J77,2),0),1),0)</f>
        <v>0x06004252</v>
      </c>
      <c r="L77" s="3" t="str">
        <f>IF(AND(LEN(E77)&lt;&gt;0,S77=""),F77&amp;"_"&amp;UPPER(E77),"")</f>
        <v>DSP_MEAN</v>
      </c>
      <c r="M77" s="21" t="s">
        <v>276</v>
      </c>
      <c r="N77" s="22">
        <v>0</v>
      </c>
      <c r="O77" s="22">
        <v>-10</v>
      </c>
      <c r="P77" s="22">
        <v>10</v>
      </c>
      <c r="Q77" s="23" t="s">
        <v>244</v>
      </c>
      <c r="R77" s="23"/>
      <c r="S77" s="22"/>
      <c r="T77" s="21" t="s">
        <v>277</v>
      </c>
      <c r="U77"/>
      <c r="V77"/>
      <c r="W77"/>
      <c r="X77"/>
      <c r="Y77"/>
      <c r="Z77" s="12"/>
      <c r="AA77" s="12"/>
      <c r="AB77" s="12"/>
      <c r="AC77" s="12"/>
      <c r="AD77" s="12"/>
      <c r="AE77" s="12"/>
      <c r="AF77" s="12"/>
      <c r="AG77" s="12"/>
      <c r="AH77" s="12"/>
      <c r="AI77" s="12"/>
    </row>
    <row r="78" spans="1:35" s="10" customFormat="1" x14ac:dyDescent="0.25">
      <c r="A78" s="12"/>
      <c r="B78" s="12"/>
      <c r="C78" s="12"/>
      <c r="D78"/>
      <c r="E78" s="24" t="s">
        <v>280</v>
      </c>
      <c r="F78" s="23" t="s">
        <v>270</v>
      </c>
      <c r="G78" s="23" t="s">
        <v>49</v>
      </c>
      <c r="H78" s="26" t="s">
        <v>50</v>
      </c>
      <c r="I78" s="22">
        <f>I77+J77</f>
        <v>8</v>
      </c>
      <c r="J78" s="22">
        <v>4</v>
      </c>
      <c r="K78" s="10" t="str">
        <f xml:space="preserve"> IFERROR("0x" &amp; DEC2HEX(VLOOKUP(F78,Common!$C$10:$D$34,2,FALSE),2) &amp; DEC2HEX(I78,3) &amp; DEC2HEX(VLOOKUP(G78,Common!$C$51:$D$55,2,FALSE),1) &amp; DEC2HEX(1+2*VLOOKUP(H78,Common!$C$69:$D$72,2,FALSE),1) &amp; DEC2HEX(IFERROR(LOG(J78,2),0),1),0)</f>
        <v>0x06008252</v>
      </c>
      <c r="L78" s="3" t="str">
        <f t="shared" ref="L78:L80" si="10">IF(AND(LEN(E78)&lt;&gt;0,S78=""),F78&amp;"_"&amp;UPPER(E78),"")</f>
        <v>DSP_VAR</v>
      </c>
      <c r="M78" s="24" t="s">
        <v>281</v>
      </c>
      <c r="N78" s="22">
        <v>0</v>
      </c>
      <c r="O78" s="22">
        <v>-10</v>
      </c>
      <c r="P78" s="22">
        <v>10</v>
      </c>
      <c r="Q78" s="23" t="s">
        <v>244</v>
      </c>
      <c r="R78" s="22"/>
      <c r="S78" s="22"/>
      <c r="T78" s="24" t="s">
        <v>282</v>
      </c>
      <c r="U78"/>
      <c r="V78"/>
      <c r="W78"/>
      <c r="X78"/>
      <c r="Y78"/>
      <c r="Z78" s="12"/>
      <c r="AA78" s="12"/>
      <c r="AB78" s="12"/>
      <c r="AC78" s="12"/>
      <c r="AD78" s="12"/>
      <c r="AE78" s="12"/>
      <c r="AF78" s="12"/>
      <c r="AG78" s="12"/>
      <c r="AH78" s="12"/>
      <c r="AI78" s="12"/>
    </row>
    <row r="79" spans="1:35" s="10" customFormat="1" x14ac:dyDescent="0.25">
      <c r="A79" s="12"/>
      <c r="B79" s="12"/>
      <c r="C79" s="12"/>
      <c r="D79"/>
      <c r="E79" s="24" t="s">
        <v>278</v>
      </c>
      <c r="F79" s="23" t="s">
        <v>270</v>
      </c>
      <c r="G79" s="23" t="s">
        <v>49</v>
      </c>
      <c r="H79" s="23" t="s">
        <v>50</v>
      </c>
      <c r="I79" s="22">
        <f>I78+J78</f>
        <v>12</v>
      </c>
      <c r="J79" s="22">
        <v>4</v>
      </c>
      <c r="K79" s="10" t="str">
        <f xml:space="preserve"> IFERROR("0x" &amp; DEC2HEX(VLOOKUP(F79,Common!$C$10:$D$34,2,FALSE),2) &amp; DEC2HEX(I79,3) &amp; DEC2HEX(VLOOKUP(G79,Common!$C$51:$D$55,2,FALSE),1) &amp; DEC2HEX(1+2*VLOOKUP(H79,Common!$C$69:$D$72,2,FALSE),1) &amp; DEC2HEX(IFERROR(LOG(J79,2),0),1),0)</f>
        <v>0x0600C252</v>
      </c>
      <c r="L79" s="3" t="str">
        <f t="shared" si="10"/>
        <v>DSP_STD</v>
      </c>
      <c r="M79" s="21" t="s">
        <v>279</v>
      </c>
      <c r="N79" s="22">
        <v>0</v>
      </c>
      <c r="O79" s="22">
        <v>-10</v>
      </c>
      <c r="P79" s="22">
        <v>10</v>
      </c>
      <c r="Q79" s="23" t="s">
        <v>244</v>
      </c>
      <c r="R79" s="22"/>
      <c r="S79" s="22"/>
      <c r="T79" s="24" t="s">
        <v>283</v>
      </c>
      <c r="U79"/>
      <c r="V79"/>
      <c r="W79"/>
      <c r="X79"/>
      <c r="Y79"/>
      <c r="Z79" s="12"/>
      <c r="AA79" s="12"/>
      <c r="AB79" s="12"/>
      <c r="AC79" s="12"/>
      <c r="AD79" s="12"/>
      <c r="AE79" s="12"/>
      <c r="AF79" s="12"/>
      <c r="AG79" s="12"/>
      <c r="AH79" s="12"/>
      <c r="AI79" s="12"/>
    </row>
    <row r="80" spans="1:35" s="10" customFormat="1" x14ac:dyDescent="0.25">
      <c r="A80" s="12"/>
      <c r="B80" s="12"/>
      <c r="C80" s="12"/>
      <c r="D80"/>
      <c r="E80" s="24" t="s">
        <v>285</v>
      </c>
      <c r="F80" s="23" t="s">
        <v>270</v>
      </c>
      <c r="G80" s="23" t="s">
        <v>49</v>
      </c>
      <c r="H80" s="26" t="s">
        <v>50</v>
      </c>
      <c r="I80" s="22">
        <f>I79+J79</f>
        <v>16</v>
      </c>
      <c r="J80" s="22">
        <v>4</v>
      </c>
      <c r="K80" s="10" t="str">
        <f xml:space="preserve"> IFERROR("0x" &amp; DEC2HEX(VLOOKUP(F80,Common!$C$10:$D$34,2,FALSE),2) &amp; DEC2HEX(I80,3) &amp; DEC2HEX(VLOOKUP(G80,Common!$C$51:$D$55,2,FALSE),1) &amp; DEC2HEX(1+2*VLOOKUP(H80,Common!$C$69:$D$72,2,FALSE),1) &amp; DEC2HEX(IFERROR(LOG(J80,2),0),1),0)</f>
        <v>0x06010252</v>
      </c>
      <c r="L80" s="22" t="str">
        <f t="shared" si="10"/>
        <v>DSP_FIR</v>
      </c>
      <c r="M80" s="24" t="s">
        <v>286</v>
      </c>
      <c r="N80" s="22">
        <v>0</v>
      </c>
      <c r="O80" s="22">
        <v>-10</v>
      </c>
      <c r="P80" s="22">
        <v>10</v>
      </c>
      <c r="Q80" s="23" t="s">
        <v>244</v>
      </c>
      <c r="R80" s="27"/>
      <c r="S80" s="22"/>
      <c r="T80" s="24" t="s">
        <v>287</v>
      </c>
      <c r="U80"/>
      <c r="V80"/>
      <c r="W80"/>
      <c r="X80"/>
      <c r="Y80"/>
      <c r="Z80" s="12"/>
      <c r="AA80" s="12"/>
      <c r="AB80" s="12"/>
      <c r="AC80" s="12"/>
      <c r="AD80" s="12"/>
      <c r="AE80" s="12"/>
      <c r="AF80" s="12"/>
      <c r="AG80" s="12"/>
      <c r="AH80" s="12"/>
      <c r="AI80" s="12"/>
    </row>
    <row r="81" spans="1:35" s="10" customFormat="1" x14ac:dyDescent="0.25">
      <c r="A81" s="12"/>
      <c r="B81" s="12"/>
      <c r="C81" s="12"/>
      <c r="D81"/>
      <c r="E81" s="19"/>
      <c r="F81" s="23"/>
      <c r="G81" s="22"/>
      <c r="H81" s="22"/>
      <c r="I81" s="22"/>
      <c r="J81" s="22"/>
      <c r="K81" s="22"/>
      <c r="L81" s="23"/>
      <c r="M81" s="24"/>
      <c r="N81" s="22"/>
      <c r="O81" s="22"/>
      <c r="P81" s="22"/>
      <c r="Q81" s="22"/>
      <c r="R81" s="27"/>
      <c r="S81" s="22"/>
      <c r="T81" s="24"/>
      <c r="U81"/>
      <c r="V81"/>
      <c r="W81"/>
      <c r="X81"/>
      <c r="Y81"/>
      <c r="Z81" s="12"/>
      <c r="AA81" s="12"/>
      <c r="AB81" s="12"/>
      <c r="AC81" s="12"/>
      <c r="AD81" s="12"/>
      <c r="AE81" s="12"/>
      <c r="AF81" s="12"/>
      <c r="AG81" s="12"/>
      <c r="AH81" s="12"/>
      <c r="AI81" s="12"/>
    </row>
    <row r="82" spans="1:35" s="10" customFormat="1" x14ac:dyDescent="0.25">
      <c r="A82" s="12"/>
      <c r="B82" s="12"/>
      <c r="C82" s="12"/>
      <c r="D82"/>
      <c r="E82" s="2" t="s">
        <v>200</v>
      </c>
      <c r="F82" s="3" t="s">
        <v>290</v>
      </c>
      <c r="G82" s="3" t="s">
        <v>114</v>
      </c>
      <c r="H82" s="18" t="s">
        <v>50</v>
      </c>
      <c r="I82" s="31">
        <f t="shared" ref="I82:I92" si="11" xml:space="preserve"> I81+J81</f>
        <v>0</v>
      </c>
      <c r="J82" s="28">
        <v>1</v>
      </c>
      <c r="K82" s="10" t="str">
        <f xml:space="preserve"> IFERROR("0x" &amp; DEC2HEX(VLOOKUP(F82,Common!$C$10:$D$34,2,FALSE),2) &amp; DEC2HEX(I82,3) &amp; DEC2HEX(VLOOKUP(G82,Common!$C$51:$D$55,2,FALSE),1) &amp; DEC2HEX(1+2*VLOOKUP(H82,Common!$C$69:$D$72,2,FALSE),1) &amp; DEC2HEX(IFERROR(LOG(J82,2),0),1),0)</f>
        <v>0x08000550</v>
      </c>
      <c r="L82" s="28" t="str">
        <f>IF(AND(LEN(E82)&lt;&gt;0,S82=""),F82&amp;"_"&amp;UPPER(E82),"")</f>
        <v>OSC_MODE</v>
      </c>
      <c r="M82" t="s">
        <v>293</v>
      </c>
      <c r="N82" s="28">
        <v>1</v>
      </c>
      <c r="O82" s="28"/>
      <c r="P82" s="28"/>
      <c r="Q82" s="28"/>
      <c r="R82" s="28"/>
      <c r="S82" s="28"/>
      <c r="T82" t="s">
        <v>293</v>
      </c>
      <c r="U82"/>
      <c r="V82"/>
      <c r="W82"/>
      <c r="X82"/>
      <c r="Y82"/>
      <c r="Z82" s="12"/>
      <c r="AA82" s="12"/>
      <c r="AB82" s="12"/>
      <c r="AC82" s="12"/>
      <c r="AD82" s="12"/>
      <c r="AE82" s="12"/>
      <c r="AF82" s="12"/>
      <c r="AG82" s="12"/>
      <c r="AH82" s="12"/>
      <c r="AI82" s="12"/>
    </row>
    <row r="83" spans="1:35" s="10" customFormat="1" x14ac:dyDescent="0.25">
      <c r="A83" s="12"/>
      <c r="B83" s="12"/>
      <c r="C83" s="12"/>
      <c r="D83"/>
      <c r="E83" s="32"/>
      <c r="F83" s="28"/>
      <c r="G83" s="28"/>
      <c r="H83" s="28"/>
      <c r="I83" s="31">
        <f t="shared" si="11"/>
        <v>1</v>
      </c>
      <c r="J83" s="28"/>
      <c r="K83" s="32"/>
      <c r="L83" s="3" t="s">
        <v>294</v>
      </c>
      <c r="M83" t="s">
        <v>295</v>
      </c>
      <c r="N83" s="28"/>
      <c r="O83" s="28"/>
      <c r="P83" s="28"/>
      <c r="Q83" s="28"/>
      <c r="R83" s="28"/>
      <c r="S83" s="28"/>
      <c r="T83" t="s">
        <v>296</v>
      </c>
      <c r="U83"/>
      <c r="V83"/>
      <c r="W83"/>
      <c r="X83"/>
      <c r="Y83"/>
      <c r="Z83" s="12"/>
      <c r="AA83" s="12"/>
      <c r="AB83" s="12"/>
      <c r="AC83" s="12"/>
      <c r="AD83" s="12"/>
      <c r="AE83" s="12"/>
      <c r="AF83" s="12"/>
      <c r="AG83" s="12"/>
      <c r="AH83" s="12"/>
      <c r="AI83" s="12"/>
    </row>
    <row r="84" spans="1:35" s="10" customFormat="1" x14ac:dyDescent="0.25">
      <c r="A84" s="12"/>
      <c r="B84" s="12"/>
      <c r="C84" s="12"/>
      <c r="D84"/>
      <c r="E84" s="32"/>
      <c r="F84" s="28"/>
      <c r="G84" s="28"/>
      <c r="H84" s="28"/>
      <c r="I84" s="31">
        <f t="shared" si="11"/>
        <v>1</v>
      </c>
      <c r="J84" s="28"/>
      <c r="K84" s="32"/>
      <c r="L84" s="3" t="s">
        <v>297</v>
      </c>
      <c r="M84" t="s">
        <v>298</v>
      </c>
      <c r="N84" s="28"/>
      <c r="O84" s="28"/>
      <c r="P84" s="28"/>
      <c r="Q84" s="28"/>
      <c r="R84" s="28"/>
      <c r="S84" s="28"/>
      <c r="T84" t="s">
        <v>299</v>
      </c>
      <c r="U84"/>
      <c r="V84"/>
      <c r="W84"/>
      <c r="X84"/>
      <c r="Y84"/>
      <c r="Z84" s="12"/>
      <c r="AA84" s="12"/>
      <c r="AB84" s="12"/>
      <c r="AC84" s="12"/>
      <c r="AD84" s="12"/>
      <c r="AE84" s="12"/>
      <c r="AF84" s="12"/>
      <c r="AG84" s="12"/>
      <c r="AH84" s="12"/>
      <c r="AI84" s="12"/>
    </row>
    <row r="85" spans="1:35" s="10" customFormat="1" x14ac:dyDescent="0.25">
      <c r="A85" s="12"/>
      <c r="B85" s="12"/>
      <c r="C85" s="12"/>
      <c r="D85"/>
      <c r="E85" s="55"/>
      <c r="F85" s="28"/>
      <c r="G85" s="28"/>
      <c r="H85" s="56"/>
      <c r="I85" s="31">
        <f t="shared" si="11"/>
        <v>1</v>
      </c>
      <c r="J85" s="28"/>
      <c r="K85" s="28"/>
      <c r="L85" s="3" t="s">
        <v>300</v>
      </c>
      <c r="M85" t="s">
        <v>301</v>
      </c>
      <c r="N85" s="28"/>
      <c r="O85" s="28"/>
      <c r="P85" s="28"/>
      <c r="Q85" s="28"/>
      <c r="R85" s="28"/>
      <c r="S85" s="28"/>
      <c r="T85" t="s">
        <v>302</v>
      </c>
      <c r="U85"/>
      <c r="V85"/>
      <c r="W85"/>
      <c r="X85"/>
      <c r="Y85"/>
      <c r="Z85" s="12"/>
      <c r="AA85" s="12"/>
      <c r="AB85" s="12"/>
      <c r="AC85" s="12"/>
      <c r="AD85" s="12"/>
      <c r="AE85" s="12"/>
      <c r="AF85" s="12"/>
      <c r="AG85" s="12"/>
      <c r="AH85" s="12"/>
      <c r="AI85" s="12"/>
    </row>
    <row r="86" spans="1:35" s="10" customFormat="1" x14ac:dyDescent="0.25">
      <c r="A86" s="12"/>
      <c r="B86" s="12"/>
      <c r="C86" s="12"/>
      <c r="D86"/>
      <c r="E86" s="2" t="s">
        <v>303</v>
      </c>
      <c r="F86" s="3" t="s">
        <v>290</v>
      </c>
      <c r="G86" s="5" t="s">
        <v>114</v>
      </c>
      <c r="H86" s="18" t="s">
        <v>47</v>
      </c>
      <c r="I86" s="31">
        <f t="shared" si="11"/>
        <v>1</v>
      </c>
      <c r="J86" s="28">
        <v>1</v>
      </c>
      <c r="K86" s="10" t="str">
        <f xml:space="preserve"> IFERROR("0x" &amp; DEC2HEX(VLOOKUP(F86,Common!$C$10:$D$34,2,FALSE),2) &amp; DEC2HEX(I86,3) &amp; DEC2HEX(VLOOKUP(G86,Common!$C$51:$D$55,2,FALSE),1) &amp; DEC2HEX(1+2*VLOOKUP(H86,Common!$C$69:$D$72,2,FALSE),1) &amp; DEC2HEX(IFERROR(LOG(J86,2),0),1),0)</f>
        <v>0x08001570</v>
      </c>
      <c r="L86" s="28" t="str">
        <f>IF(AND(LEN(E86)&lt;&gt;0,S86=""),F86&amp;"_"&amp;UPPER(E86),"")</f>
        <v>OSC_SOURCE</v>
      </c>
      <c r="M86" t="s">
        <v>304</v>
      </c>
      <c r="N86" s="28">
        <v>1</v>
      </c>
      <c r="O86" s="28"/>
      <c r="P86" s="28"/>
      <c r="Q86" s="28"/>
      <c r="R86" s="28"/>
      <c r="S86" s="28"/>
      <c r="T86" t="s">
        <v>305</v>
      </c>
      <c r="U86"/>
      <c r="V86"/>
      <c r="W86"/>
      <c r="X86"/>
      <c r="Y86"/>
      <c r="Z86" s="12"/>
      <c r="AA86" s="12"/>
      <c r="AB86" s="12"/>
      <c r="AC86" s="12"/>
      <c r="AD86" s="12"/>
      <c r="AE86" s="12"/>
      <c r="AF86" s="12"/>
      <c r="AG86" s="12"/>
      <c r="AH86" s="12"/>
      <c r="AI86" s="12"/>
    </row>
    <row r="87" spans="1:35" s="10" customFormat="1" x14ac:dyDescent="0.25">
      <c r="A87" s="12"/>
      <c r="B87" s="12"/>
      <c r="C87" s="12"/>
      <c r="D87"/>
      <c r="E87" s="55"/>
      <c r="F87" s="28"/>
      <c r="G87" s="28"/>
      <c r="H87" s="56"/>
      <c r="I87" s="31">
        <f t="shared" si="11"/>
        <v>2</v>
      </c>
      <c r="J87" s="28"/>
      <c r="K87" s="10">
        <f xml:space="preserve"> IFERROR("0x" &amp; DEC2HEX(VLOOKUP(F87,Common!$C$10:$D$34,2,FALSE),2) &amp; DEC2HEX(I87,3) &amp; DEC2HEX(VLOOKUP(G87,Common!$C$51:$D$55,2,FALSE),1) &amp; DEC2HEX(1+2*VLOOKUP(H87,Common!$C$69:$D$72,2,FALSE),1) &amp; DEC2HEX(IFERROR(LOG(J87,2),0),1),0)</f>
        <v>0</v>
      </c>
      <c r="L87" s="3" t="s">
        <v>306</v>
      </c>
      <c r="M87" t="s">
        <v>307</v>
      </c>
      <c r="N87" s="28"/>
      <c r="O87" s="28"/>
      <c r="P87" s="28"/>
      <c r="Q87" s="28"/>
      <c r="R87" s="28"/>
      <c r="S87" s="28"/>
      <c r="T87" t="s">
        <v>308</v>
      </c>
      <c r="U87"/>
      <c r="V87"/>
      <c r="W87"/>
      <c r="X87"/>
      <c r="Y87"/>
      <c r="Z87" s="12"/>
      <c r="AA87" s="12"/>
      <c r="AB87" s="12"/>
      <c r="AC87" s="12"/>
      <c r="AD87" s="12"/>
      <c r="AE87" s="12"/>
      <c r="AF87" s="12"/>
      <c r="AG87" s="12"/>
      <c r="AH87" s="12"/>
      <c r="AI87" s="12"/>
    </row>
    <row r="88" spans="1:35" s="10" customFormat="1" x14ac:dyDescent="0.25">
      <c r="A88" s="12"/>
      <c r="B88" s="12"/>
      <c r="C88" s="12"/>
      <c r="D88"/>
      <c r="E88" s="55"/>
      <c r="F88" s="28"/>
      <c r="G88" s="31"/>
      <c r="H88" s="56"/>
      <c r="I88" s="31">
        <f t="shared" si="11"/>
        <v>2</v>
      </c>
      <c r="J88" s="28"/>
      <c r="K88" s="10">
        <f xml:space="preserve"> IFERROR("0x" &amp; DEC2HEX(VLOOKUP(F88,Common!$C$10:$D$34,2,FALSE),2) &amp; DEC2HEX(I88,3) &amp; DEC2HEX(VLOOKUP(G88,Common!$C$51:$D$55,2,FALSE),1) &amp; DEC2HEX(1+2*VLOOKUP(H88,Common!$C$69:$D$72,2,FALSE),1) &amp; DEC2HEX(IFERROR(LOG(J88,2),0),1),0)</f>
        <v>0</v>
      </c>
      <c r="L88" s="3" t="s">
        <v>314</v>
      </c>
      <c r="M88" t="s">
        <v>309</v>
      </c>
      <c r="N88" s="28"/>
      <c r="O88" s="28"/>
      <c r="P88" s="28"/>
      <c r="Q88" s="28"/>
      <c r="R88" s="28"/>
      <c r="S88" s="28"/>
      <c r="T88" t="s">
        <v>309</v>
      </c>
      <c r="U88"/>
      <c r="V88"/>
      <c r="W88"/>
      <c r="X88"/>
      <c r="Y88"/>
      <c r="Z88" s="12"/>
      <c r="AA88" s="12"/>
      <c r="AB88" s="12"/>
      <c r="AC88" s="12"/>
      <c r="AD88" s="12"/>
      <c r="AE88" s="12"/>
      <c r="AF88" s="12"/>
      <c r="AG88" s="12"/>
      <c r="AH88" s="12"/>
      <c r="AI88" s="12"/>
    </row>
    <row r="89" spans="1:35" s="10" customFormat="1" x14ac:dyDescent="0.25">
      <c r="A89" s="12"/>
      <c r="B89" s="12"/>
      <c r="C89" s="12"/>
      <c r="D89"/>
      <c r="E89" s="55"/>
      <c r="F89" s="28"/>
      <c r="G89" s="31"/>
      <c r="H89" s="56"/>
      <c r="I89" s="31">
        <f t="shared" si="11"/>
        <v>2</v>
      </c>
      <c r="J89" s="28"/>
      <c r="K89" s="10">
        <f xml:space="preserve"> IFERROR("0x" &amp; DEC2HEX(VLOOKUP(F89,Common!$C$10:$D$34,2,FALSE),2) &amp; DEC2HEX(I89,3) &amp; DEC2HEX(VLOOKUP(G89,Common!$C$51:$D$55,2,FALSE),1) &amp; DEC2HEX(1+2*VLOOKUP(H89,Common!$C$69:$D$72,2,FALSE),1) &amp; DEC2HEX(IFERROR(LOG(J89,2),0),1),0)</f>
        <v>0</v>
      </c>
      <c r="L89" s="3" t="s">
        <v>315</v>
      </c>
      <c r="M89" s="2" t="s">
        <v>310</v>
      </c>
      <c r="N89" s="28"/>
      <c r="O89" s="28"/>
      <c r="P89" s="28"/>
      <c r="Q89" s="28"/>
      <c r="R89" s="28"/>
      <c r="S89" s="28"/>
      <c r="T89" s="2" t="s">
        <v>310</v>
      </c>
      <c r="U89"/>
      <c r="V89"/>
      <c r="W89"/>
      <c r="X89"/>
      <c r="Y89"/>
      <c r="Z89" s="12"/>
      <c r="AA89" s="12"/>
      <c r="AB89" s="12"/>
      <c r="AC89" s="12"/>
      <c r="AD89" s="12"/>
      <c r="AE89" s="12"/>
      <c r="AF89" s="12"/>
      <c r="AG89" s="12"/>
      <c r="AH89" s="12"/>
      <c r="AI89" s="12"/>
    </row>
    <row r="90" spans="1:35" s="10" customFormat="1" x14ac:dyDescent="0.25">
      <c r="A90" s="12"/>
      <c r="B90" s="12"/>
      <c r="C90" s="12"/>
      <c r="D90"/>
      <c r="E90" t="s">
        <v>311</v>
      </c>
      <c r="F90" s="3" t="s">
        <v>290</v>
      </c>
      <c r="G90" s="3" t="s">
        <v>48</v>
      </c>
      <c r="H90" s="3" t="s">
        <v>50</v>
      </c>
      <c r="I90" s="31">
        <f t="shared" si="11"/>
        <v>2</v>
      </c>
      <c r="J90" s="3">
        <v>1</v>
      </c>
      <c r="K90" s="10" t="str">
        <f xml:space="preserve"> IFERROR("0x" &amp; DEC2HEX(VLOOKUP(F90,Common!$C$10:$D$34,2,FALSE),2) &amp; DEC2HEX(I90,3) &amp; DEC2HEX(VLOOKUP(G90,Common!$C$51:$D$55,2,FALSE),1) &amp; DEC2HEX(1+2*VLOOKUP(H90,Common!$C$69:$D$72,2,FALSE),1) &amp; DEC2HEX(IFERROR(LOG(J90,2),0),1),0)</f>
        <v>0x08002150</v>
      </c>
      <c r="L90" s="28" t="str">
        <f>IF(AND(LEN(E90)&lt;&gt;0,S90=""),F90&amp;"_"&amp;UPPER(E90),"")</f>
        <v>OSC_START</v>
      </c>
      <c r="M90" t="s">
        <v>312</v>
      </c>
      <c r="N90" s="3"/>
      <c r="O90" s="3"/>
      <c r="P90" s="3"/>
      <c r="Q90" s="3"/>
      <c r="R90" s="3"/>
      <c r="S90"/>
      <c r="T90" t="s">
        <v>313</v>
      </c>
      <c r="U90"/>
      <c r="V90"/>
      <c r="W90"/>
      <c r="X90"/>
      <c r="Y90"/>
      <c r="Z90" s="12"/>
      <c r="AA90" s="12"/>
      <c r="AB90" s="12"/>
      <c r="AC90" s="12"/>
      <c r="AD90" s="12"/>
      <c r="AE90" s="12"/>
      <c r="AF90" s="12"/>
      <c r="AG90" s="12"/>
      <c r="AH90" s="12"/>
      <c r="AI90" s="12"/>
    </row>
    <row r="91" spans="1:35" s="10" customFormat="1" x14ac:dyDescent="0.25">
      <c r="A91" s="12"/>
      <c r="B91" s="12"/>
      <c r="C91" s="12"/>
      <c r="D91"/>
      <c r="E91" t="s">
        <v>194</v>
      </c>
      <c r="F91" s="3" t="s">
        <v>290</v>
      </c>
      <c r="G91" s="3" t="s">
        <v>48</v>
      </c>
      <c r="H91" s="3" t="s">
        <v>50</v>
      </c>
      <c r="I91" s="31">
        <f t="shared" si="11"/>
        <v>3</v>
      </c>
      <c r="J91" s="28">
        <v>1</v>
      </c>
      <c r="K91" s="10" t="str">
        <f xml:space="preserve"> IFERROR("0x" &amp; DEC2HEX(VLOOKUP(F91,Common!$C$10:$D$34,2,FALSE),2) &amp; DEC2HEX(I91,3) &amp; DEC2HEX(VLOOKUP(G91,Common!$C$51:$D$55,2,FALSE),1) &amp; DEC2HEX(1+2*VLOOKUP(H91,Common!$C$69:$D$72,2,FALSE),1) &amp; DEC2HEX(IFERROR(LOG(J91,2),0),1),0)</f>
        <v>0x08003150</v>
      </c>
      <c r="L91" s="28" t="str">
        <f>IF(AND(LEN(E91)&lt;&gt;0,S91=""),F91&amp;"_"&amp;UPPER(E91),"")</f>
        <v>OSC_RESERVED</v>
      </c>
      <c r="M91"/>
      <c r="N91" s="3"/>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 t="s">
        <v>316</v>
      </c>
      <c r="F92" s="3" t="s">
        <v>290</v>
      </c>
      <c r="G92" s="3" t="s">
        <v>49</v>
      </c>
      <c r="H92" s="3" t="s">
        <v>50</v>
      </c>
      <c r="I92" s="31">
        <f t="shared" si="11"/>
        <v>4</v>
      </c>
      <c r="J92" s="3">
        <v>4</v>
      </c>
      <c r="K92" s="10" t="str">
        <f xml:space="preserve"> IFERROR("0x" &amp; DEC2HEX(VLOOKUP(F92,Common!$C$10:$D$34,2,FALSE),2) &amp; DEC2HEX(I92,3) &amp; DEC2HEX(VLOOKUP(G92,Common!$C$51:$D$55,2,FALSE),1) &amp; DEC2HEX(1+2*VLOOKUP(H92,Common!$C$69:$D$72,2,FALSE),1) &amp; DEC2HEX(IFERROR(LOG(J92,2),0),1),0)</f>
        <v>0x08004252</v>
      </c>
      <c r="L92" s="28" t="str">
        <f>IF(AND(LEN(E92)&lt;&gt;0,S92=""),F92&amp;"_"&amp;UPPER(E92),"")</f>
        <v>OSC_FREQUENCY</v>
      </c>
      <c r="M92" t="s">
        <v>317</v>
      </c>
      <c r="N92" s="5">
        <v>1000</v>
      </c>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1"/>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3"/>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3"/>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3"/>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3"/>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3"/>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3"/>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2"/>
      <c r="R104" s="27"/>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1"/>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1"/>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1"/>
      <c r="F107" s="23"/>
      <c r="G107" s="23"/>
      <c r="H107" s="26"/>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1"/>
      <c r="F108" s="23"/>
      <c r="G108" s="23"/>
      <c r="H108" s="26"/>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1"/>
      <c r="F109" s="23"/>
      <c r="G109" s="23"/>
      <c r="H109" s="26"/>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1"/>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2"/>
      <c r="F111" s="22"/>
      <c r="G111" s="22"/>
      <c r="H111" s="22"/>
      <c r="I111" s="22"/>
      <c r="J111" s="22"/>
      <c r="K111" s="22"/>
      <c r="L111" s="22"/>
      <c r="M111" s="22"/>
      <c r="N111" s="22"/>
      <c r="O111" s="22"/>
      <c r="P111" s="22"/>
      <c r="Q111" s="22"/>
      <c r="R111" s="27"/>
      <c r="S111" s="22"/>
      <c r="T111" s="22"/>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1"/>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6"/>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s="12"/>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s="1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s="12"/>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s="12"/>
      <c r="Z144" s="12"/>
      <c r="AA144" s="12"/>
      <c r="AB144" s="12"/>
      <c r="AC144" s="12"/>
      <c r="AD144" s="12"/>
      <c r="AE144" s="12"/>
      <c r="AF144" s="12"/>
      <c r="AG144" s="12"/>
      <c r="AH144" s="12"/>
      <c r="AI144" s="12"/>
    </row>
    <row r="145" spans="1:35" s="10" customFormat="1" x14ac:dyDescent="0.25">
      <c r="A145" s="12"/>
      <c r="B145" s="12"/>
      <c r="C145" s="12"/>
      <c r="D145"/>
      <c r="E145" s="24"/>
      <c r="F145" s="23"/>
      <c r="G145" s="22"/>
      <c r="H145" s="25"/>
      <c r="I145" s="22"/>
      <c r="J145" s="22"/>
      <c r="K145" s="22"/>
      <c r="L145" s="22"/>
      <c r="M145" s="24"/>
      <c r="N145" s="22"/>
      <c r="O145" s="22"/>
      <c r="P145" s="22"/>
      <c r="Q145" s="22"/>
      <c r="R145" s="22"/>
      <c r="S145" s="22"/>
      <c r="T145" s="19"/>
      <c r="U145"/>
      <c r="V145"/>
      <c r="W145"/>
      <c r="X145"/>
      <c r="Y145" s="12"/>
      <c r="Z145" s="12"/>
      <c r="AA145" s="12"/>
      <c r="AB145" s="12"/>
      <c r="AC145" s="12"/>
      <c r="AD145" s="12"/>
      <c r="AE145" s="12"/>
      <c r="AF145" s="12"/>
      <c r="AG145" s="12"/>
      <c r="AH145" s="12"/>
      <c r="AI145" s="12"/>
    </row>
    <row r="146" spans="1:35" s="10" customFormat="1" x14ac:dyDescent="0.25">
      <c r="A146" s="12"/>
      <c r="B146" s="12"/>
      <c r="C146" s="12"/>
      <c r="D146"/>
      <c r="E146"/>
      <c r="F146"/>
      <c r="G146"/>
      <c r="H146"/>
      <c r="I146"/>
      <c r="J146"/>
      <c r="K146"/>
      <c r="L146"/>
      <c r="M146"/>
      <c r="N146"/>
      <c r="O146"/>
      <c r="P146"/>
      <c r="Q146"/>
      <c r="R146"/>
      <c r="S146"/>
      <c r="T146"/>
      <c r="U146"/>
      <c r="V146"/>
      <c r="W146"/>
      <c r="X146"/>
      <c r="Y146" s="12"/>
      <c r="Z146" s="12"/>
      <c r="AA146" s="12"/>
      <c r="AB146" s="12"/>
      <c r="AC146" s="12"/>
      <c r="AD146" s="12"/>
      <c r="AE146" s="12"/>
      <c r="AF146" s="12"/>
      <c r="AG146" s="12"/>
      <c r="AH146" s="12"/>
      <c r="AI146" s="12"/>
    </row>
    <row r="147" spans="1:35" s="10" customFormat="1" x14ac:dyDescent="0.25">
      <c r="A147" s="12"/>
      <c r="B147" s="12"/>
      <c r="C147" s="12"/>
      <c r="D147"/>
      <c r="E147"/>
      <c r="F147"/>
      <c r="G147"/>
      <c r="H147"/>
      <c r="I147"/>
      <c r="J147"/>
      <c r="K147"/>
      <c r="L147"/>
      <c r="M147"/>
      <c r="N147"/>
      <c r="O147"/>
      <c r="P147"/>
      <c r="Q147"/>
      <c r="R147"/>
      <c r="S147"/>
      <c r="T147"/>
      <c r="U147"/>
      <c r="V147"/>
      <c r="W147"/>
      <c r="X147"/>
      <c r="Y147" s="12"/>
      <c r="Z147" s="12"/>
      <c r="AA147" s="12"/>
      <c r="AB147" s="12"/>
      <c r="AC147" s="12"/>
      <c r="AD147" s="12"/>
      <c r="AE147" s="12"/>
      <c r="AF147" s="12"/>
      <c r="AG147" s="12"/>
      <c r="AH147" s="12"/>
      <c r="AI147" s="12"/>
    </row>
    <row r="148" spans="1:35" s="10" customFormat="1" x14ac:dyDescent="0.25">
      <c r="A148" s="12"/>
      <c r="B148" s="12"/>
      <c r="C148" s="12"/>
      <c r="D148"/>
      <c r="E148"/>
      <c r="F148"/>
      <c r="G148"/>
      <c r="H148"/>
      <c r="I148"/>
      <c r="J148"/>
      <c r="K148"/>
      <c r="L148"/>
      <c r="M148"/>
      <c r="N148"/>
      <c r="O148"/>
      <c r="P148"/>
      <c r="Q148"/>
      <c r="R148"/>
      <c r="S148"/>
      <c r="T148"/>
      <c r="U148"/>
      <c r="V148"/>
      <c r="W148"/>
      <c r="X148"/>
      <c r="Y148" s="12"/>
      <c r="Z148" s="12"/>
      <c r="AA148" s="12"/>
      <c r="AB148" s="12"/>
      <c r="AC148" s="12"/>
      <c r="AD148" s="12"/>
      <c r="AE148" s="12"/>
      <c r="AF148" s="12"/>
      <c r="AG148" s="12"/>
      <c r="AH148" s="12"/>
      <c r="AI148" s="12"/>
    </row>
    <row r="149" spans="1:35" s="10" customFormat="1" x14ac:dyDescent="0.25">
      <c r="A149" s="12"/>
      <c r="B149" s="12"/>
      <c r="C149" s="12"/>
      <c r="D149"/>
      <c r="E149"/>
      <c r="F149"/>
      <c r="G149"/>
      <c r="H149"/>
      <c r="I149"/>
      <c r="J149"/>
      <c r="K149"/>
      <c r="L149"/>
      <c r="M149"/>
      <c r="N149"/>
      <c r="O149"/>
      <c r="P149"/>
      <c r="Q149"/>
      <c r="R149"/>
      <c r="S149"/>
      <c r="T149"/>
      <c r="U149"/>
      <c r="V149"/>
      <c r="W149"/>
      <c r="X149"/>
      <c r="Y149" s="12"/>
      <c r="Z149" s="12"/>
      <c r="AA149" s="12"/>
      <c r="AB149" s="12"/>
      <c r="AC149" s="12"/>
      <c r="AD149" s="12"/>
      <c r="AE149" s="12"/>
      <c r="AF149" s="12"/>
      <c r="AG149" s="12"/>
      <c r="AH149" s="12"/>
      <c r="AI149" s="12"/>
    </row>
    <row r="150" spans="1:35" s="10" customFormat="1" x14ac:dyDescent="0.25">
      <c r="A150" s="12"/>
      <c r="B150" s="12"/>
      <c r="C150" s="12"/>
      <c r="D150"/>
      <c r="E150"/>
      <c r="F150"/>
      <c r="G150"/>
      <c r="H150"/>
      <c r="I150"/>
      <c r="J150"/>
      <c r="K150"/>
      <c r="L150"/>
      <c r="M150"/>
      <c r="N150"/>
      <c r="O150"/>
      <c r="P150"/>
      <c r="Q150"/>
      <c r="R150"/>
      <c r="S150"/>
      <c r="T150"/>
      <c r="U150"/>
      <c r="V150"/>
      <c r="W150"/>
      <c r="X150"/>
      <c r="Y150" s="12"/>
      <c r="Z150" s="12"/>
      <c r="AA150" s="12"/>
      <c r="AB150" s="12"/>
      <c r="AC150" s="12"/>
      <c r="AD150" s="12"/>
      <c r="AE150" s="12"/>
      <c r="AF150" s="12"/>
      <c r="AG150" s="12"/>
      <c r="AH150" s="12"/>
      <c r="AI150" s="12"/>
    </row>
    <row r="151" spans="1:35" s="10" customFormat="1" x14ac:dyDescent="0.25">
      <c r="A151" s="12"/>
      <c r="B151" s="12"/>
      <c r="C151" s="12"/>
      <c r="D151"/>
      <c r="E151"/>
      <c r="F151"/>
      <c r="G151"/>
      <c r="H151"/>
      <c r="I151"/>
      <c r="J151"/>
      <c r="K151"/>
      <c r="L151"/>
      <c r="M151"/>
      <c r="N151"/>
      <c r="O151"/>
      <c r="P151"/>
      <c r="Q151"/>
      <c r="R151"/>
      <c r="S151"/>
      <c r="T151"/>
      <c r="U151"/>
      <c r="V151"/>
      <c r="W151"/>
      <c r="X151"/>
      <c r="Y151" s="12"/>
      <c r="Z151" s="12"/>
      <c r="AA151" s="12"/>
      <c r="AB151" s="12"/>
      <c r="AC151" s="12"/>
      <c r="AD151" s="12"/>
      <c r="AE151" s="12"/>
      <c r="AF151" s="12"/>
      <c r="AG151" s="12"/>
      <c r="AH151" s="12"/>
      <c r="AI151" s="12"/>
    </row>
    <row r="152" spans="1:35" s="10" customFormat="1" x14ac:dyDescent="0.25">
      <c r="A152" s="12"/>
      <c r="B152" s="12"/>
      <c r="C152" s="12"/>
      <c r="D152"/>
      <c r="E152"/>
      <c r="F152"/>
      <c r="G152"/>
      <c r="H152"/>
      <c r="I152"/>
      <c r="J152"/>
      <c r="K152"/>
      <c r="L152"/>
      <c r="M152"/>
      <c r="N152"/>
      <c r="O152"/>
      <c r="P152"/>
      <c r="Q152"/>
      <c r="R152"/>
      <c r="S152"/>
      <c r="T152"/>
      <c r="U152"/>
      <c r="V152"/>
      <c r="W152"/>
      <c r="X152"/>
      <c r="Y152" s="12"/>
      <c r="Z152" s="12"/>
      <c r="AA152" s="12"/>
      <c r="AB152" s="12"/>
      <c r="AC152" s="12"/>
      <c r="AD152" s="12"/>
      <c r="AE152" s="12"/>
      <c r="AF152" s="12"/>
      <c r="AG152" s="12"/>
      <c r="AH152" s="12"/>
      <c r="AI152" s="12"/>
    </row>
    <row r="153" spans="1:35" s="10" customFormat="1" x14ac:dyDescent="0.25">
      <c r="A153" s="12"/>
      <c r="B153" s="12"/>
      <c r="C153" s="12"/>
      <c r="D153"/>
      <c r="E153"/>
      <c r="F153"/>
      <c r="G153"/>
      <c r="H153"/>
      <c r="I153"/>
      <c r="J153"/>
      <c r="K153"/>
      <c r="L153"/>
      <c r="M153"/>
      <c r="N153"/>
      <c r="O153"/>
      <c r="P153"/>
      <c r="Q153"/>
      <c r="R153"/>
      <c r="S153"/>
      <c r="T153"/>
      <c r="U153"/>
      <c r="V153"/>
      <c r="W153"/>
      <c r="X153"/>
      <c r="Y153" s="12"/>
      <c r="Z153" s="12"/>
      <c r="AA153" s="12"/>
      <c r="AB153" s="12"/>
      <c r="AC153" s="12"/>
      <c r="AD153" s="12"/>
      <c r="AE153" s="12"/>
      <c r="AF153" s="12"/>
      <c r="AG153" s="12"/>
      <c r="AH153" s="12"/>
      <c r="AI153" s="12"/>
    </row>
    <row r="154" spans="1:35" s="10" customFormat="1" x14ac:dyDescent="0.25">
      <c r="A154" s="12"/>
      <c r="B154" s="12"/>
      <c r="C154" s="12"/>
      <c r="D154"/>
      <c r="E154"/>
      <c r="F154"/>
      <c r="G154"/>
      <c r="H154"/>
      <c r="I154"/>
      <c r="J154"/>
      <c r="K154"/>
      <c r="L154"/>
      <c r="M154"/>
      <c r="N154"/>
      <c r="O154"/>
      <c r="P154"/>
      <c r="Q154"/>
      <c r="R154"/>
      <c r="S154"/>
      <c r="T154"/>
      <c r="U154"/>
      <c r="V154"/>
      <c r="W154"/>
      <c r="X154"/>
      <c r="Y154" s="12"/>
      <c r="Z154" s="12"/>
      <c r="AA154" s="12"/>
      <c r="AB154" s="12"/>
      <c r="AC154" s="12"/>
      <c r="AD154" s="12"/>
      <c r="AE154" s="12"/>
      <c r="AF154" s="12"/>
      <c r="AG154" s="12"/>
      <c r="AH154" s="12"/>
      <c r="AI154" s="12"/>
    </row>
    <row r="155" spans="1:35" s="10" customFormat="1" x14ac:dyDescent="0.25">
      <c r="A155" s="12"/>
      <c r="B155" s="12"/>
      <c r="C155" s="12"/>
      <c r="D155"/>
      <c r="E155"/>
      <c r="F155"/>
      <c r="G155"/>
      <c r="H155"/>
      <c r="I155"/>
      <c r="J155"/>
      <c r="K155"/>
      <c r="L155"/>
      <c r="M155"/>
      <c r="N155"/>
      <c r="O155"/>
      <c r="P155"/>
      <c r="Q155"/>
      <c r="R155"/>
      <c r="S155"/>
      <c r="T155"/>
      <c r="U155"/>
      <c r="V155"/>
      <c r="W155"/>
      <c r="X155"/>
      <c r="Y155" s="12"/>
      <c r="Z155" s="12"/>
      <c r="AA155" s="12"/>
      <c r="AB155" s="12"/>
      <c r="AC155" s="12"/>
      <c r="AD155" s="12"/>
      <c r="AE155" s="12"/>
      <c r="AF155" s="12"/>
      <c r="AG155" s="12"/>
      <c r="AH155" s="12"/>
      <c r="AI155" s="12"/>
    </row>
    <row r="156" spans="1:35" s="10" customFormat="1" x14ac:dyDescent="0.25">
      <c r="A156" s="12"/>
      <c r="B156" s="12"/>
      <c r="C156" s="12"/>
      <c r="D156"/>
      <c r="E156"/>
      <c r="F156"/>
      <c r="G156"/>
      <c r="H156"/>
      <c r="I156"/>
      <c r="J156"/>
      <c r="K156"/>
      <c r="L156"/>
      <c r="M156"/>
      <c r="N156"/>
      <c r="O156"/>
      <c r="P156"/>
      <c r="Q156"/>
      <c r="R156"/>
      <c r="S156"/>
      <c r="T156"/>
      <c r="U156"/>
      <c r="V156"/>
      <c r="W156"/>
      <c r="X156"/>
      <c r="Y156" s="12"/>
      <c r="Z156" s="12"/>
      <c r="AA156" s="12"/>
      <c r="AB156" s="12"/>
      <c r="AC156" s="12"/>
      <c r="AD156" s="12"/>
      <c r="AE156" s="12"/>
      <c r="AF156" s="12"/>
      <c r="AG156" s="12"/>
      <c r="AH156" s="12"/>
      <c r="AI156" s="12"/>
    </row>
    <row r="157" spans="1:35" s="10" customFormat="1" x14ac:dyDescent="0.25">
      <c r="A157" s="12"/>
      <c r="B157" s="12"/>
      <c r="C157" s="12"/>
      <c r="D157"/>
      <c r="E157"/>
      <c r="F157"/>
      <c r="G157"/>
      <c r="H157"/>
      <c r="I157"/>
      <c r="J157"/>
      <c r="K157"/>
      <c r="L157"/>
      <c r="M157"/>
      <c r="N157"/>
      <c r="O157"/>
      <c r="P157"/>
      <c r="Q157"/>
      <c r="R157"/>
      <c r="S157"/>
      <c r="T157"/>
      <c r="U157"/>
      <c r="V157"/>
      <c r="W157"/>
      <c r="X157"/>
      <c r="Y157" s="12"/>
      <c r="Z157" s="12"/>
      <c r="AA157" s="12"/>
      <c r="AB157" s="12"/>
      <c r="AC157" s="12"/>
      <c r="AD157" s="12"/>
      <c r="AE157" s="12"/>
      <c r="AF157" s="12"/>
      <c r="AG157" s="12"/>
      <c r="AH157" s="12"/>
      <c r="AI157" s="12"/>
    </row>
    <row r="158" spans="1:35" s="10" customFormat="1" x14ac:dyDescent="0.25">
      <c r="A158" s="12"/>
      <c r="B158" s="12"/>
      <c r="C158" s="12"/>
      <c r="D158"/>
      <c r="E158" s="24"/>
      <c r="F158" s="23"/>
      <c r="G158" s="22"/>
      <c r="H158" s="22"/>
      <c r="I158" s="22"/>
      <c r="J158" s="22"/>
      <c r="K158" s="22"/>
      <c r="L158" s="22"/>
      <c r="M158" s="21"/>
      <c r="N158" s="22"/>
      <c r="O158" s="22"/>
      <c r="P158" s="22"/>
      <c r="Q158" s="22"/>
      <c r="R158" s="22"/>
      <c r="S158" s="22"/>
      <c r="T158" s="19"/>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4"/>
      <c r="N159" s="22"/>
      <c r="O159" s="22"/>
      <c r="P159" s="22"/>
      <c r="Q159" s="22"/>
      <c r="R159" s="27"/>
      <c r="S159" s="22"/>
      <c r="T159" s="24"/>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19"/>
      <c r="F160" s="23"/>
      <c r="G160" s="22"/>
      <c r="H160" s="22"/>
      <c r="I160" s="22"/>
      <c r="J160" s="22"/>
      <c r="K160" s="22"/>
      <c r="L160" s="23"/>
      <c r="M160" s="24"/>
      <c r="N160" s="22"/>
      <c r="O160" s="22"/>
      <c r="P160" s="22"/>
      <c r="Q160" s="22"/>
      <c r="R160" s="27"/>
      <c r="S160" s="22"/>
      <c r="T160" s="24"/>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19"/>
      <c r="F161" s="23"/>
      <c r="G161" s="22"/>
      <c r="H161" s="22"/>
      <c r="I161" s="22"/>
      <c r="J161" s="22"/>
      <c r="K161" s="22"/>
      <c r="L161" s="23"/>
      <c r="M161" s="24"/>
      <c r="N161" s="22"/>
      <c r="O161" s="22"/>
      <c r="P161" s="22"/>
      <c r="Q161" s="22"/>
      <c r="R161" s="27"/>
      <c r="S161" s="22"/>
      <c r="T161" s="24"/>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19"/>
      <c r="F162" s="23"/>
      <c r="G162" s="22"/>
      <c r="H162" s="25"/>
      <c r="I162" s="22"/>
      <c r="J162" s="22"/>
      <c r="K162" s="22"/>
      <c r="L162" s="23"/>
      <c r="M162" s="24"/>
      <c r="N162" s="22"/>
      <c r="O162" s="22"/>
      <c r="P162" s="22"/>
      <c r="Q162" s="22"/>
      <c r="R162" s="27"/>
      <c r="S162" s="22"/>
      <c r="T162" s="24"/>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19"/>
      <c r="F163" s="23"/>
      <c r="G163" s="22"/>
      <c r="H163" s="22"/>
      <c r="I163" s="22"/>
      <c r="J163" s="22"/>
      <c r="K163" s="22"/>
      <c r="L163" s="23"/>
      <c r="M163" s="24"/>
      <c r="N163" s="22"/>
      <c r="O163" s="22"/>
      <c r="P163" s="22"/>
      <c r="Q163" s="22"/>
      <c r="R163" s="27"/>
      <c r="S163" s="22"/>
      <c r="T163" s="24"/>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19"/>
      <c r="F164" s="23"/>
      <c r="G164" s="22"/>
      <c r="H164" s="22"/>
      <c r="I164" s="22"/>
      <c r="J164" s="22"/>
      <c r="K164" s="22"/>
      <c r="L164" s="23"/>
      <c r="M164" s="24"/>
      <c r="N164" s="22"/>
      <c r="O164" s="22"/>
      <c r="P164" s="22"/>
      <c r="Q164" s="22"/>
      <c r="R164" s="27"/>
      <c r="S164" s="22"/>
      <c r="T164" s="24"/>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2"/>
      <c r="F165" s="23"/>
      <c r="G165" s="22"/>
      <c r="H165" s="22"/>
      <c r="I165" s="22"/>
      <c r="J165" s="22"/>
      <c r="K165" s="22"/>
      <c r="L165" s="23"/>
      <c r="M165" s="24"/>
      <c r="N165" s="22"/>
      <c r="O165" s="22"/>
      <c r="P165" s="22"/>
      <c r="Q165" s="22"/>
      <c r="R165" s="27"/>
      <c r="S165" s="22"/>
      <c r="T165" s="24"/>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2"/>
      <c r="F166" s="23"/>
      <c r="G166" s="22"/>
      <c r="H166" s="22"/>
      <c r="I166" s="22"/>
      <c r="J166" s="22"/>
      <c r="K166" s="22"/>
      <c r="L166" s="23"/>
      <c r="M166" s="24"/>
      <c r="N166" s="22"/>
      <c r="O166" s="22"/>
      <c r="P166" s="22"/>
      <c r="Q166" s="22"/>
      <c r="R166" s="27"/>
      <c r="S166" s="22"/>
      <c r="T166" s="24"/>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2"/>
      <c r="F167" s="23"/>
      <c r="G167" s="22"/>
      <c r="H167" s="22"/>
      <c r="I167" s="22"/>
      <c r="J167" s="22"/>
      <c r="K167" s="22"/>
      <c r="L167" s="23"/>
      <c r="M167" s="24"/>
      <c r="N167" s="22"/>
      <c r="O167" s="22"/>
      <c r="P167" s="22"/>
      <c r="Q167" s="22"/>
      <c r="R167" s="27"/>
      <c r="S167" s="22"/>
      <c r="T167" s="24"/>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3"/>
      <c r="I168" s="22"/>
      <c r="J168" s="22"/>
      <c r="K168" s="22"/>
      <c r="L168" s="22"/>
      <c r="M168" s="24"/>
      <c r="N168" s="22"/>
      <c r="O168" s="22"/>
      <c r="P168" s="22"/>
      <c r="Q168" s="22"/>
      <c r="R168" s="27"/>
      <c r="S168" s="22"/>
      <c r="T168" s="24"/>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3"/>
      <c r="I169" s="22"/>
      <c r="J169" s="22"/>
      <c r="K169" s="22"/>
      <c r="L169" s="22"/>
      <c r="M169" s="24"/>
      <c r="N169" s="22"/>
      <c r="O169" s="22"/>
      <c r="P169" s="22"/>
      <c r="Q169" s="23"/>
      <c r="R169" s="23"/>
      <c r="S169" s="22"/>
      <c r="T169" s="24"/>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3"/>
      <c r="I170" s="22"/>
      <c r="J170" s="22"/>
      <c r="K170" s="22"/>
      <c r="L170" s="22"/>
      <c r="M170" s="24"/>
      <c r="N170" s="22"/>
      <c r="O170" s="22"/>
      <c r="P170" s="22"/>
      <c r="Q170" s="23"/>
      <c r="R170" s="23"/>
      <c r="S170" s="22"/>
      <c r="T170" s="24"/>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4"/>
      <c r="N171" s="22"/>
      <c r="O171" s="22"/>
      <c r="P171" s="22"/>
      <c r="Q171" s="23"/>
      <c r="R171" s="23"/>
      <c r="S171" s="22"/>
      <c r="T171" s="24"/>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4"/>
      <c r="N172" s="22"/>
      <c r="O172" s="22"/>
      <c r="P172" s="22"/>
      <c r="Q172" s="23"/>
      <c r="R172" s="23"/>
      <c r="S172" s="22"/>
      <c r="T172" s="24"/>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4"/>
      <c r="N173" s="22"/>
      <c r="O173" s="22"/>
      <c r="P173" s="22"/>
      <c r="Q173" s="23"/>
      <c r="R173" s="23"/>
      <c r="S173" s="22"/>
      <c r="T173" s="24"/>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4"/>
      <c r="N174" s="22"/>
      <c r="O174" s="22"/>
      <c r="P174" s="22"/>
      <c r="Q174" s="23"/>
      <c r="R174" s="23"/>
      <c r="S174" s="22"/>
      <c r="T174" s="24"/>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4"/>
      <c r="N175" s="22"/>
      <c r="O175" s="22"/>
      <c r="P175" s="22"/>
      <c r="Q175" s="23"/>
      <c r="R175" s="23"/>
      <c r="S175" s="22"/>
      <c r="T175" s="24"/>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4"/>
      <c r="N176" s="22"/>
      <c r="O176" s="22"/>
      <c r="P176" s="22"/>
      <c r="Q176" s="23"/>
      <c r="R176" s="23"/>
      <c r="S176" s="22"/>
      <c r="T176" s="24"/>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4"/>
      <c r="N177" s="22"/>
      <c r="O177" s="22"/>
      <c r="P177" s="22"/>
      <c r="Q177" s="23"/>
      <c r="R177" s="23"/>
      <c r="S177" s="22"/>
      <c r="T177" s="24"/>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2"/>
      <c r="R178" s="27"/>
      <c r="S178" s="22"/>
      <c r="T178" s="20"/>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24"/>
      <c r="F179" s="23"/>
      <c r="G179" s="22"/>
      <c r="H179" s="22"/>
      <c r="I179" s="22"/>
      <c r="J179" s="22"/>
      <c r="K179" s="22"/>
      <c r="L179" s="22"/>
      <c r="M179" s="21"/>
      <c r="N179" s="22"/>
      <c r="O179" s="22"/>
      <c r="P179" s="22"/>
      <c r="Q179" s="22"/>
      <c r="R179" s="22"/>
      <c r="S179" s="22"/>
      <c r="T179" s="19"/>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4"/>
      <c r="N180" s="22"/>
      <c r="O180" s="22"/>
      <c r="P180" s="22"/>
      <c r="Q180" s="22"/>
      <c r="R180" s="27"/>
      <c r="S180" s="22"/>
      <c r="T180" s="24"/>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19"/>
      <c r="F181" s="23"/>
      <c r="G181" s="22"/>
      <c r="H181" s="22"/>
      <c r="I181" s="22"/>
      <c r="J181" s="22"/>
      <c r="K181" s="22"/>
      <c r="L181" s="23"/>
      <c r="M181" s="24"/>
      <c r="N181" s="22"/>
      <c r="O181" s="22"/>
      <c r="P181" s="22"/>
      <c r="Q181" s="22"/>
      <c r="R181" s="27"/>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19"/>
      <c r="F182" s="23"/>
      <c r="G182" s="22"/>
      <c r="H182" s="22"/>
      <c r="I182" s="22"/>
      <c r="J182" s="22"/>
      <c r="K182" s="22"/>
      <c r="L182" s="23"/>
      <c r="M182" s="24"/>
      <c r="N182" s="22"/>
      <c r="O182" s="22"/>
      <c r="P182" s="22"/>
      <c r="Q182" s="22"/>
      <c r="R182" s="27"/>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19"/>
      <c r="F183" s="23"/>
      <c r="G183" s="22"/>
      <c r="H183" s="25"/>
      <c r="I183" s="22"/>
      <c r="J183" s="22"/>
      <c r="K183" s="22"/>
      <c r="L183" s="23"/>
      <c r="M183" s="24"/>
      <c r="N183" s="22"/>
      <c r="O183" s="22"/>
      <c r="P183" s="22"/>
      <c r="Q183" s="22"/>
      <c r="R183" s="27"/>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19"/>
      <c r="F184" s="23"/>
      <c r="G184" s="22"/>
      <c r="H184" s="22"/>
      <c r="I184" s="22"/>
      <c r="J184" s="22"/>
      <c r="K184" s="22"/>
      <c r="L184" s="23"/>
      <c r="M184" s="24"/>
      <c r="N184" s="22"/>
      <c r="O184" s="22"/>
      <c r="P184" s="22"/>
      <c r="Q184" s="22"/>
      <c r="R184" s="27"/>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19"/>
      <c r="F185" s="23"/>
      <c r="G185" s="22"/>
      <c r="H185" s="22"/>
      <c r="I185" s="22"/>
      <c r="J185" s="22"/>
      <c r="K185" s="22"/>
      <c r="L185" s="23"/>
      <c r="M185" s="24"/>
      <c r="N185" s="22"/>
      <c r="O185" s="22"/>
      <c r="P185" s="22"/>
      <c r="Q185" s="22"/>
      <c r="R185" s="27"/>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22"/>
      <c r="F186" s="23"/>
      <c r="G186" s="22"/>
      <c r="H186" s="22"/>
      <c r="I186" s="22"/>
      <c r="J186" s="22"/>
      <c r="K186" s="22"/>
      <c r="L186" s="23"/>
      <c r="M186" s="24"/>
      <c r="N186" s="22"/>
      <c r="O186" s="22"/>
      <c r="P186" s="22"/>
      <c r="Q186" s="22"/>
      <c r="R186" s="27"/>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2"/>
      <c r="F187" s="23"/>
      <c r="G187" s="22"/>
      <c r="H187" s="22"/>
      <c r="I187" s="22"/>
      <c r="J187" s="22"/>
      <c r="K187" s="22"/>
      <c r="L187" s="23"/>
      <c r="M187" s="24"/>
      <c r="N187" s="22"/>
      <c r="O187" s="22"/>
      <c r="P187" s="22"/>
      <c r="Q187" s="22"/>
      <c r="R187" s="27"/>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2"/>
      <c r="F188" s="23"/>
      <c r="G188" s="22"/>
      <c r="H188" s="22"/>
      <c r="I188" s="22"/>
      <c r="J188" s="22"/>
      <c r="K188" s="22"/>
      <c r="L188" s="23"/>
      <c r="M188" s="24"/>
      <c r="N188" s="22"/>
      <c r="O188" s="22"/>
      <c r="P188" s="22"/>
      <c r="Q188" s="22"/>
      <c r="R188" s="27"/>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4"/>
      <c r="F189" s="23"/>
      <c r="G189" s="23"/>
      <c r="H189" s="23"/>
      <c r="I189" s="22"/>
      <c r="J189" s="22"/>
      <c r="K189" s="22"/>
      <c r="L189" s="22"/>
      <c r="M189" s="24"/>
      <c r="N189" s="22"/>
      <c r="O189" s="22"/>
      <c r="P189" s="22"/>
      <c r="Q189" s="22"/>
      <c r="R189" s="27"/>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3"/>
      <c r="I190" s="22"/>
      <c r="J190" s="22"/>
      <c r="K190" s="22"/>
      <c r="L190" s="22"/>
      <c r="M190" s="24"/>
      <c r="N190" s="22"/>
      <c r="O190" s="22"/>
      <c r="P190" s="22"/>
      <c r="Q190" s="23"/>
      <c r="R190" s="23"/>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3"/>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6"/>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3"/>
      <c r="R194" s="23"/>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6"/>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1"/>
      <c r="N199" s="22"/>
      <c r="O199" s="22"/>
      <c r="P199" s="22"/>
      <c r="Q199" s="22"/>
      <c r="R199" s="27"/>
      <c r="S199" s="22"/>
      <c r="T199" s="20"/>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2"/>
      <c r="H200" s="22"/>
      <c r="I200" s="22"/>
      <c r="J200" s="22"/>
      <c r="K200" s="22"/>
      <c r="L200" s="22"/>
      <c r="M200" s="21"/>
      <c r="N200" s="22"/>
      <c r="O200" s="22"/>
      <c r="P200" s="22"/>
      <c r="Q200" s="22"/>
      <c r="R200" s="22"/>
      <c r="S200" s="22"/>
      <c r="T200" s="19"/>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3"/>
      <c r="H201" s="26"/>
      <c r="I201" s="22"/>
      <c r="J201" s="22"/>
      <c r="K201" s="22"/>
      <c r="L201" s="22"/>
      <c r="M201" s="24"/>
      <c r="N201" s="22"/>
      <c r="O201" s="22"/>
      <c r="P201" s="22"/>
      <c r="Q201" s="22"/>
      <c r="R201" s="27"/>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19"/>
      <c r="F202" s="23"/>
      <c r="G202" s="22"/>
      <c r="H202" s="22"/>
      <c r="I202" s="22"/>
      <c r="J202" s="22"/>
      <c r="K202" s="22"/>
      <c r="L202" s="23"/>
      <c r="M202" s="24"/>
      <c r="N202" s="22"/>
      <c r="O202" s="22"/>
      <c r="P202" s="22"/>
      <c r="Q202" s="22"/>
      <c r="R202" s="27"/>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19"/>
      <c r="F203" s="23"/>
      <c r="G203" s="22"/>
      <c r="H203" s="22"/>
      <c r="I203" s="22"/>
      <c r="J203" s="22"/>
      <c r="K203" s="22"/>
      <c r="L203" s="23"/>
      <c r="M203" s="24"/>
      <c r="N203" s="22"/>
      <c r="O203" s="22"/>
      <c r="P203" s="22"/>
      <c r="Q203" s="22"/>
      <c r="R203" s="27"/>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19"/>
      <c r="F204" s="23"/>
      <c r="G204" s="22"/>
      <c r="H204" s="25"/>
      <c r="I204" s="22"/>
      <c r="J204" s="22"/>
      <c r="K204" s="22"/>
      <c r="L204" s="23"/>
      <c r="M204" s="24"/>
      <c r="N204" s="22"/>
      <c r="O204" s="22"/>
      <c r="P204" s="22"/>
      <c r="Q204" s="22"/>
      <c r="R204" s="27"/>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19"/>
      <c r="F205" s="23"/>
      <c r="G205" s="22"/>
      <c r="H205" s="22"/>
      <c r="I205" s="22"/>
      <c r="J205" s="22"/>
      <c r="K205" s="22"/>
      <c r="L205" s="23"/>
      <c r="M205" s="24"/>
      <c r="N205" s="22"/>
      <c r="O205" s="22"/>
      <c r="P205" s="22"/>
      <c r="Q205" s="22"/>
      <c r="R205" s="27"/>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19"/>
      <c r="F206" s="23"/>
      <c r="G206" s="22"/>
      <c r="H206" s="22"/>
      <c r="I206" s="22"/>
      <c r="J206" s="22"/>
      <c r="K206" s="22"/>
      <c r="L206" s="23"/>
      <c r="M206" s="24"/>
      <c r="N206" s="22"/>
      <c r="O206" s="22"/>
      <c r="P206" s="22"/>
      <c r="Q206" s="22"/>
      <c r="R206" s="27"/>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2"/>
      <c r="F207" s="23"/>
      <c r="G207" s="22"/>
      <c r="H207" s="22"/>
      <c r="I207" s="22"/>
      <c r="J207" s="22"/>
      <c r="K207" s="22"/>
      <c r="L207" s="23"/>
      <c r="M207" s="24"/>
      <c r="N207" s="22"/>
      <c r="O207" s="22"/>
      <c r="P207" s="22"/>
      <c r="Q207" s="22"/>
      <c r="R207" s="27"/>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2"/>
      <c r="F208" s="23"/>
      <c r="G208" s="22"/>
      <c r="H208" s="22"/>
      <c r="I208" s="22"/>
      <c r="J208" s="22"/>
      <c r="K208" s="22"/>
      <c r="L208" s="23"/>
      <c r="M208" s="24"/>
      <c r="N208" s="22"/>
      <c r="O208" s="22"/>
      <c r="P208" s="22"/>
      <c r="Q208" s="22"/>
      <c r="R208" s="27"/>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2"/>
      <c r="F209" s="23"/>
      <c r="G209" s="22"/>
      <c r="H209" s="22"/>
      <c r="I209" s="22"/>
      <c r="J209" s="22"/>
      <c r="K209" s="22"/>
      <c r="L209" s="23"/>
      <c r="M209" s="24"/>
      <c r="N209" s="22"/>
      <c r="O209" s="22"/>
      <c r="P209" s="22"/>
      <c r="Q209" s="22"/>
      <c r="R209" s="27"/>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3"/>
      <c r="I210" s="22"/>
      <c r="J210" s="22"/>
      <c r="K210" s="22"/>
      <c r="L210" s="22"/>
      <c r="M210" s="24"/>
      <c r="N210" s="22"/>
      <c r="O210" s="22"/>
      <c r="P210" s="22"/>
      <c r="Q210" s="22"/>
      <c r="R210" s="27"/>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3"/>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3"/>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1"/>
      <c r="N220" s="22"/>
      <c r="O220" s="22"/>
      <c r="P220" s="22"/>
      <c r="Q220" s="22"/>
      <c r="R220" s="27"/>
      <c r="S220" s="22"/>
      <c r="T220" s="20"/>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2"/>
      <c r="H221" s="22"/>
      <c r="I221" s="22"/>
      <c r="J221" s="22"/>
      <c r="K221" s="22"/>
      <c r="L221" s="22"/>
      <c r="M221" s="21"/>
      <c r="N221" s="22"/>
      <c r="O221" s="22"/>
      <c r="P221" s="22"/>
      <c r="Q221" s="22"/>
      <c r="R221" s="22"/>
      <c r="S221" s="22"/>
      <c r="T221" s="19"/>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4"/>
      <c r="N222" s="22"/>
      <c r="O222" s="22"/>
      <c r="P222" s="22"/>
      <c r="Q222" s="22"/>
      <c r="R222" s="27"/>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19"/>
      <c r="F223" s="23"/>
      <c r="G223" s="22"/>
      <c r="H223" s="22"/>
      <c r="I223" s="22"/>
      <c r="J223" s="22"/>
      <c r="K223" s="22"/>
      <c r="L223" s="23"/>
      <c r="M223" s="24"/>
      <c r="N223" s="22"/>
      <c r="O223" s="22"/>
      <c r="P223" s="22"/>
      <c r="Q223" s="22"/>
      <c r="R223" s="27"/>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19"/>
      <c r="F224" s="23"/>
      <c r="G224" s="22"/>
      <c r="H224" s="22"/>
      <c r="I224" s="22"/>
      <c r="J224" s="22"/>
      <c r="K224" s="22"/>
      <c r="L224" s="23"/>
      <c r="M224" s="24"/>
      <c r="N224" s="22"/>
      <c r="O224" s="22"/>
      <c r="P224" s="22"/>
      <c r="Q224" s="22"/>
      <c r="R224" s="27"/>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19"/>
      <c r="F225" s="23"/>
      <c r="G225" s="22"/>
      <c r="H225" s="25"/>
      <c r="I225" s="22"/>
      <c r="J225" s="22"/>
      <c r="K225" s="22"/>
      <c r="L225" s="23"/>
      <c r="M225" s="24"/>
      <c r="N225" s="22"/>
      <c r="O225" s="22"/>
      <c r="P225" s="22"/>
      <c r="Q225" s="22"/>
      <c r="R225" s="27"/>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19"/>
      <c r="F226" s="23"/>
      <c r="G226" s="22"/>
      <c r="H226" s="22"/>
      <c r="I226" s="22"/>
      <c r="J226" s="22"/>
      <c r="K226" s="22"/>
      <c r="L226" s="23"/>
      <c r="M226" s="24"/>
      <c r="N226" s="22"/>
      <c r="O226" s="22"/>
      <c r="P226" s="22"/>
      <c r="Q226" s="22"/>
      <c r="R226" s="27"/>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19"/>
      <c r="F227" s="23"/>
      <c r="G227" s="22"/>
      <c r="H227" s="22"/>
      <c r="I227" s="22"/>
      <c r="J227" s="22"/>
      <c r="K227" s="22"/>
      <c r="L227" s="23"/>
      <c r="M227" s="24"/>
      <c r="N227" s="22"/>
      <c r="O227" s="22"/>
      <c r="P227" s="22"/>
      <c r="Q227" s="22"/>
      <c r="R227" s="27"/>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2"/>
      <c r="F228" s="23"/>
      <c r="G228" s="22"/>
      <c r="H228" s="22"/>
      <c r="I228" s="22"/>
      <c r="J228" s="22"/>
      <c r="K228" s="22"/>
      <c r="L228" s="23"/>
      <c r="M228" s="24"/>
      <c r="N228" s="22"/>
      <c r="O228" s="22"/>
      <c r="P228" s="22"/>
      <c r="Q228" s="22"/>
      <c r="R228" s="27"/>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2"/>
      <c r="F229" s="23"/>
      <c r="G229" s="22"/>
      <c r="H229" s="22"/>
      <c r="I229" s="22"/>
      <c r="J229" s="22"/>
      <c r="K229" s="22"/>
      <c r="L229" s="23"/>
      <c r="M229" s="24"/>
      <c r="N229" s="22"/>
      <c r="O229" s="22"/>
      <c r="P229" s="22"/>
      <c r="Q229" s="22"/>
      <c r="R229" s="27"/>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2"/>
      <c r="F230" s="23"/>
      <c r="G230" s="22"/>
      <c r="H230" s="22"/>
      <c r="I230" s="22"/>
      <c r="J230" s="22"/>
      <c r="K230" s="22"/>
      <c r="L230" s="23"/>
      <c r="M230" s="24"/>
      <c r="N230" s="22"/>
      <c r="O230" s="22"/>
      <c r="P230" s="22"/>
      <c r="Q230" s="22"/>
      <c r="R230" s="27"/>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3"/>
      <c r="I231" s="22"/>
      <c r="J231" s="22"/>
      <c r="K231" s="22"/>
      <c r="L231" s="22"/>
      <c r="M231" s="24"/>
      <c r="N231" s="22"/>
      <c r="O231" s="22"/>
      <c r="P231" s="22"/>
      <c r="Q231" s="22"/>
      <c r="R231" s="27"/>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3"/>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3"/>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1"/>
      <c r="N241" s="22"/>
      <c r="O241" s="22"/>
      <c r="P241" s="22"/>
      <c r="Q241" s="22"/>
      <c r="R241" s="27"/>
      <c r="S241" s="22"/>
      <c r="T241" s="20"/>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c r="F242"/>
      <c r="G242"/>
      <c r="H242"/>
      <c r="I242"/>
      <c r="J242"/>
      <c r="K242"/>
      <c r="L242"/>
      <c r="M242"/>
      <c r="N242"/>
      <c r="O242"/>
      <c r="P242"/>
      <c r="Q242"/>
      <c r="R242"/>
      <c r="S242"/>
      <c r="T242"/>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c r="F243"/>
      <c r="G243"/>
      <c r="H243"/>
      <c r="I243"/>
      <c r="J243"/>
      <c r="K243"/>
      <c r="L243"/>
      <c r="M243"/>
      <c r="N243"/>
      <c r="O243"/>
      <c r="P243"/>
      <c r="Q243"/>
      <c r="R243"/>
      <c r="S243"/>
      <c r="T243"/>
      <c r="U243"/>
      <c r="V243"/>
      <c r="W243"/>
      <c r="X243"/>
      <c r="Y243" s="12"/>
      <c r="Z243" s="12"/>
      <c r="AA243" s="12"/>
      <c r="AB243" s="12"/>
      <c r="AC243" s="12"/>
      <c r="AD243" s="12"/>
      <c r="AE243" s="12"/>
      <c r="AF243" s="12"/>
      <c r="AG243" s="12"/>
      <c r="AH243" s="12"/>
      <c r="AI243" s="12"/>
    </row>
    <row r="244" spans="1:35" s="10" customFormat="1" x14ac:dyDescent="0.25">
      <c r="A244" s="12"/>
      <c r="B244" s="12"/>
      <c r="C244" s="12"/>
      <c r="D244"/>
      <c r="E244"/>
      <c r="F244"/>
      <c r="G244"/>
      <c r="H244"/>
      <c r="I244"/>
      <c r="J244"/>
      <c r="K244"/>
      <c r="L244"/>
      <c r="M244"/>
      <c r="N244"/>
      <c r="O244"/>
      <c r="P244"/>
      <c r="Q244"/>
      <c r="R244"/>
      <c r="S244"/>
      <c r="T244"/>
      <c r="U244"/>
      <c r="V244"/>
      <c r="W244"/>
      <c r="X244"/>
      <c r="Y244" s="12"/>
      <c r="Z244" s="12"/>
      <c r="AA244" s="12"/>
      <c r="AB244" s="12"/>
      <c r="AC244" s="12"/>
      <c r="AD244" s="12"/>
      <c r="AE244" s="12"/>
      <c r="AF244" s="12"/>
      <c r="AG244" s="12"/>
      <c r="AH244" s="12"/>
      <c r="AI244" s="12"/>
    </row>
    <row r="245" spans="1:35" s="10" customFormat="1" x14ac:dyDescent="0.25">
      <c r="A245" s="12"/>
      <c r="B245" s="12"/>
      <c r="C245" s="12"/>
      <c r="D245"/>
      <c r="E245"/>
      <c r="F245"/>
      <c r="G245"/>
      <c r="H245"/>
      <c r="I245"/>
      <c r="J245"/>
      <c r="K245"/>
      <c r="L245"/>
      <c r="M245"/>
      <c r="N245"/>
      <c r="O245"/>
      <c r="P245"/>
      <c r="Q245"/>
      <c r="R245"/>
      <c r="S245"/>
      <c r="T245"/>
      <c r="U245"/>
      <c r="V245"/>
      <c r="W245"/>
      <c r="X245"/>
      <c r="Y245" s="12"/>
      <c r="Z245" s="12"/>
      <c r="AA245" s="12"/>
      <c r="AB245" s="12"/>
      <c r="AC245" s="12"/>
      <c r="AD245" s="12"/>
      <c r="AE245" s="12"/>
      <c r="AF245" s="12"/>
      <c r="AG245" s="12"/>
      <c r="AH245" s="12"/>
      <c r="AI245" s="12"/>
    </row>
    <row r="246" spans="1:35" s="10" customFormat="1" x14ac:dyDescent="0.25">
      <c r="A246" s="12"/>
      <c r="B246" s="12"/>
      <c r="C246" s="12"/>
      <c r="D246"/>
      <c r="E246"/>
      <c r="F246"/>
      <c r="G246"/>
      <c r="H246"/>
      <c r="I246"/>
      <c r="J246"/>
      <c r="K246"/>
      <c r="L246"/>
      <c r="M246"/>
      <c r="N246"/>
      <c r="O246"/>
      <c r="P246"/>
      <c r="Q246"/>
      <c r="R246"/>
      <c r="S246"/>
      <c r="T246"/>
      <c r="U246"/>
      <c r="V246"/>
      <c r="W246"/>
      <c r="X246"/>
      <c r="Y246" s="12"/>
      <c r="Z246" s="12"/>
      <c r="AA246" s="12"/>
      <c r="AB246" s="12"/>
      <c r="AC246" s="12"/>
      <c r="AD246" s="12"/>
      <c r="AE246" s="12"/>
      <c r="AF246" s="12"/>
      <c r="AG246" s="12"/>
      <c r="AH246" s="12"/>
      <c r="AI246" s="12"/>
    </row>
    <row r="247" spans="1:35" s="10" customFormat="1" x14ac:dyDescent="0.25">
      <c r="A247" s="12"/>
      <c r="B247" s="12"/>
      <c r="C247" s="12"/>
      <c r="D247"/>
      <c r="E247"/>
      <c r="F247"/>
      <c r="G247"/>
      <c r="H247"/>
      <c r="I247"/>
      <c r="J247"/>
      <c r="K247"/>
      <c r="L247"/>
      <c r="M247"/>
      <c r="N247"/>
      <c r="O247"/>
      <c r="P247"/>
      <c r="Q247"/>
      <c r="R247"/>
      <c r="S247"/>
      <c r="T247"/>
      <c r="U247"/>
      <c r="V247"/>
      <c r="W247"/>
      <c r="X247"/>
      <c r="Y247" s="12"/>
      <c r="Z247" s="12"/>
      <c r="AA247" s="12"/>
      <c r="AB247" s="12"/>
      <c r="AC247" s="12"/>
      <c r="AD247" s="12"/>
      <c r="AE247" s="12"/>
      <c r="AF247" s="12"/>
      <c r="AG247" s="12"/>
      <c r="AH247" s="12"/>
      <c r="AI247" s="12"/>
    </row>
    <row r="248" spans="1:35" s="10" customFormat="1" x14ac:dyDescent="0.25">
      <c r="A248" s="12"/>
      <c r="B248" s="12"/>
      <c r="C248" s="12"/>
      <c r="D248"/>
      <c r="E248"/>
      <c r="F248"/>
      <c r="G248"/>
      <c r="H248"/>
      <c r="I248"/>
      <c r="J248"/>
      <c r="K248"/>
      <c r="L248"/>
      <c r="M248"/>
      <c r="N248"/>
      <c r="O248"/>
      <c r="P248"/>
      <c r="Q248"/>
      <c r="R248"/>
      <c r="S248"/>
      <c r="T248"/>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c r="F249"/>
      <c r="G249"/>
      <c r="H249"/>
      <c r="I249"/>
      <c r="J249"/>
      <c r="K249"/>
      <c r="L249"/>
      <c r="M249"/>
      <c r="N249"/>
      <c r="O249"/>
      <c r="P249"/>
      <c r="Q249"/>
      <c r="R249"/>
      <c r="S249"/>
      <c r="T249"/>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c r="F250"/>
      <c r="G250"/>
      <c r="H250"/>
      <c r="I250"/>
      <c r="J250"/>
      <c r="K250"/>
      <c r="L250"/>
      <c r="M250"/>
      <c r="N250"/>
      <c r="O250"/>
      <c r="P250"/>
      <c r="Q250"/>
      <c r="R250"/>
      <c r="S250"/>
      <c r="T250"/>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c r="F251"/>
      <c r="G251"/>
      <c r="H251"/>
      <c r="I251"/>
      <c r="J251"/>
      <c r="K251"/>
      <c r="L251"/>
      <c r="M251"/>
      <c r="N251"/>
      <c r="O251"/>
      <c r="P251"/>
      <c r="Q251"/>
      <c r="R251"/>
      <c r="S251"/>
      <c r="T251"/>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c r="F252"/>
      <c r="G252"/>
      <c r="H252"/>
      <c r="I252"/>
      <c r="J252"/>
      <c r="K252"/>
      <c r="L252"/>
      <c r="M252"/>
      <c r="N252"/>
      <c r="O252"/>
      <c r="P252"/>
      <c r="Q252"/>
      <c r="R252"/>
      <c r="S252"/>
      <c r="T252"/>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c r="F253"/>
      <c r="G253"/>
      <c r="H253"/>
      <c r="I253"/>
      <c r="J253"/>
      <c r="K253"/>
      <c r="L253"/>
      <c r="M253"/>
      <c r="N253"/>
      <c r="O253"/>
      <c r="P253"/>
      <c r="Q253"/>
      <c r="R253"/>
      <c r="S253"/>
      <c r="T253"/>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c r="F254"/>
      <c r="G254"/>
      <c r="H254"/>
      <c r="I254"/>
      <c r="J254"/>
      <c r="K254"/>
      <c r="L254"/>
      <c r="M254"/>
      <c r="N254"/>
      <c r="O254"/>
      <c r="P254"/>
      <c r="Q254"/>
      <c r="R254"/>
      <c r="S254"/>
      <c r="T25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c r="F255"/>
      <c r="G255"/>
      <c r="H255"/>
      <c r="I255"/>
      <c r="J255"/>
      <c r="K255"/>
      <c r="L255"/>
      <c r="M255"/>
      <c r="N255"/>
      <c r="O255"/>
      <c r="P255"/>
      <c r="Q255"/>
      <c r="R255"/>
      <c r="S255"/>
      <c r="T255"/>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c r="F256"/>
      <c r="G256"/>
      <c r="H256"/>
      <c r="I256"/>
      <c r="J256"/>
      <c r="K256"/>
      <c r="L256"/>
      <c r="M256"/>
      <c r="N256"/>
      <c r="O256"/>
      <c r="P256"/>
      <c r="Q256"/>
      <c r="R256"/>
      <c r="S256"/>
      <c r="T256"/>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c r="F257"/>
      <c r="G257"/>
      <c r="H257"/>
      <c r="I257"/>
      <c r="J257"/>
      <c r="K257"/>
      <c r="L257"/>
      <c r="M257"/>
      <c r="N257"/>
      <c r="O257"/>
      <c r="P257"/>
      <c r="Q257"/>
      <c r="R257"/>
      <c r="S257"/>
      <c r="T257"/>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c r="F258"/>
      <c r="G258"/>
      <c r="H258"/>
      <c r="I258"/>
      <c r="J258"/>
      <c r="K258"/>
      <c r="L258"/>
      <c r="M258"/>
      <c r="N258"/>
      <c r="O258"/>
      <c r="P258"/>
      <c r="Q258"/>
      <c r="R258"/>
      <c r="S258"/>
      <c r="T258"/>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c r="F259"/>
      <c r="G259"/>
      <c r="H259"/>
      <c r="I259"/>
      <c r="J259"/>
      <c r="K259"/>
      <c r="L259"/>
      <c r="M259"/>
      <c r="N259"/>
      <c r="O259"/>
      <c r="P259"/>
      <c r="Q259"/>
      <c r="R259"/>
      <c r="S259"/>
      <c r="T259"/>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c r="F260"/>
      <c r="G260"/>
      <c r="H260"/>
      <c r="I260"/>
      <c r="J260"/>
      <c r="K260"/>
      <c r="L260"/>
      <c r="M260"/>
      <c r="N260"/>
      <c r="O260"/>
      <c r="P260"/>
      <c r="Q260"/>
      <c r="R260"/>
      <c r="S260"/>
      <c r="T260"/>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c r="F261"/>
      <c r="G261"/>
      <c r="H261"/>
      <c r="I261"/>
      <c r="J261"/>
      <c r="K261"/>
      <c r="L261"/>
      <c r="M261"/>
      <c r="N261"/>
      <c r="O261"/>
      <c r="P261"/>
      <c r="Q261"/>
      <c r="R261"/>
      <c r="S261"/>
      <c r="T261"/>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c r="F262"/>
      <c r="G262"/>
      <c r="H262"/>
      <c r="I262"/>
      <c r="J262"/>
      <c r="K262"/>
      <c r="L262"/>
      <c r="M262"/>
      <c r="N262"/>
      <c r="O262"/>
      <c r="P262"/>
      <c r="Q262"/>
      <c r="R262"/>
      <c r="S262"/>
      <c r="T262"/>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c r="F263"/>
      <c r="G263"/>
      <c r="H263"/>
      <c r="I263"/>
      <c r="J263"/>
      <c r="K263"/>
      <c r="L263"/>
      <c r="M263"/>
      <c r="N263"/>
      <c r="O263"/>
      <c r="P263"/>
      <c r="Q263"/>
      <c r="R263"/>
      <c r="S263"/>
      <c r="T263"/>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s="3"/>
      <c r="H375" s="3"/>
      <c r="I375" s="3"/>
      <c r="J375" s="3"/>
      <c r="K375"/>
      <c r="L375"/>
      <c r="M375"/>
      <c r="N375" s="3"/>
      <c r="O375" s="3"/>
      <c r="P375" s="3"/>
      <c r="Q375" s="3"/>
      <c r="R375" s="3"/>
      <c r="S375"/>
      <c r="T375"/>
      <c r="U375"/>
      <c r="V375"/>
      <c r="W375" s="12"/>
      <c r="X375" s="12"/>
      <c r="Y375" s="12"/>
      <c r="Z375" s="12"/>
      <c r="AA375" s="12"/>
      <c r="AB375" s="12"/>
      <c r="AC375" s="12"/>
      <c r="AD375" s="12"/>
      <c r="AE375" s="12"/>
      <c r="AF375" s="12"/>
      <c r="AG375" s="12"/>
      <c r="AH375" s="12"/>
      <c r="AI375" s="12"/>
    </row>
    <row r="376" spans="1:35" s="10" customFormat="1" x14ac:dyDescent="0.25">
      <c r="A376" s="12"/>
      <c r="B376" s="12"/>
      <c r="C376" s="12"/>
      <c r="D376"/>
      <c r="E376"/>
      <c r="F376"/>
      <c r="G376" s="3"/>
      <c r="H376" s="3"/>
      <c r="I376" s="3"/>
      <c r="J376" s="3"/>
      <c r="K376"/>
      <c r="L376"/>
      <c r="M376"/>
      <c r="N376" s="3"/>
      <c r="O376" s="3"/>
      <c r="P376" s="3"/>
      <c r="Q376" s="3"/>
      <c r="R376" s="3"/>
      <c r="S376"/>
      <c r="T376"/>
      <c r="U376"/>
      <c r="V376"/>
      <c r="W376" s="12"/>
      <c r="X376" s="12"/>
      <c r="Y376" s="12"/>
      <c r="Z376" s="12"/>
      <c r="AA376" s="12"/>
      <c r="AB376" s="12"/>
      <c r="AC376" s="12"/>
      <c r="AD376" s="12"/>
      <c r="AE376" s="12"/>
      <c r="AF376" s="12"/>
      <c r="AG376" s="12"/>
      <c r="AH376" s="12"/>
      <c r="AI376" s="12"/>
    </row>
    <row r="377" spans="1:35" s="10" customFormat="1" x14ac:dyDescent="0.25">
      <c r="A377" s="12"/>
      <c r="B377" s="12"/>
      <c r="C377" s="12"/>
      <c r="D377"/>
      <c r="E377"/>
      <c r="F377"/>
      <c r="G377" s="3"/>
      <c r="H377" s="3"/>
      <c r="I377" s="3"/>
      <c r="J377" s="3"/>
      <c r="K377"/>
      <c r="L377"/>
      <c r="M377"/>
      <c r="N377" s="3"/>
      <c r="O377" s="3"/>
      <c r="P377" s="3"/>
      <c r="Q377" s="3"/>
      <c r="R377" s="3"/>
      <c r="S377"/>
      <c r="T377"/>
      <c r="U377"/>
      <c r="V377"/>
      <c r="W377" s="12"/>
      <c r="X377" s="12"/>
      <c r="Y377" s="12"/>
      <c r="Z377" s="12"/>
      <c r="AA377" s="12"/>
      <c r="AB377" s="12"/>
      <c r="AC377" s="12"/>
      <c r="AD377" s="12"/>
      <c r="AE377" s="12"/>
      <c r="AF377" s="12"/>
      <c r="AG377" s="12"/>
      <c r="AH377" s="12"/>
      <c r="AI377" s="12"/>
    </row>
    <row r="378" spans="1:35" s="10" customFormat="1" x14ac:dyDescent="0.25">
      <c r="A378" s="12"/>
      <c r="B378" s="12"/>
      <c r="C378" s="12"/>
      <c r="D378"/>
      <c r="E378"/>
      <c r="F378"/>
      <c r="G378" s="3"/>
      <c r="H378" s="3"/>
      <c r="I378" s="3"/>
      <c r="J378" s="3"/>
      <c r="K378"/>
      <c r="L378"/>
      <c r="M378"/>
      <c r="N378" s="3"/>
      <c r="O378" s="3"/>
      <c r="P378" s="3"/>
      <c r="Q378" s="3"/>
      <c r="R378" s="3"/>
      <c r="S378"/>
      <c r="T378"/>
      <c r="U378"/>
      <c r="V378"/>
      <c r="W378" s="12"/>
      <c r="X378" s="12"/>
      <c r="Y378" s="12"/>
      <c r="Z378" s="12"/>
      <c r="AA378" s="12"/>
      <c r="AB378" s="12"/>
      <c r="AC378" s="12"/>
      <c r="AD378" s="12"/>
      <c r="AE378" s="12"/>
      <c r="AF378" s="12"/>
      <c r="AG378" s="12"/>
      <c r="AH378" s="12"/>
      <c r="AI378" s="12"/>
    </row>
    <row r="379" spans="1:35" s="10" customFormat="1" x14ac:dyDescent="0.25">
      <c r="A379" s="12"/>
      <c r="B379" s="12"/>
      <c r="C379" s="12"/>
      <c r="D379"/>
      <c r="E379"/>
      <c r="F379"/>
      <c r="G379" s="3"/>
      <c r="H379" s="3"/>
      <c r="I379" s="3"/>
      <c r="J379" s="3"/>
      <c r="K379"/>
      <c r="L379"/>
      <c r="M379"/>
      <c r="N379" s="3"/>
      <c r="O379" s="3"/>
      <c r="P379" s="3"/>
      <c r="Q379" s="3"/>
      <c r="R379" s="3"/>
      <c r="S379"/>
      <c r="T379"/>
      <c r="U379"/>
      <c r="V379"/>
      <c r="W379" s="12"/>
      <c r="X379" s="12"/>
      <c r="Y379" s="12"/>
      <c r="Z379" s="12"/>
      <c r="AA379" s="12"/>
      <c r="AB379" s="12"/>
      <c r="AC379" s="12"/>
      <c r="AD379" s="12"/>
      <c r="AE379" s="12"/>
      <c r="AF379" s="12"/>
      <c r="AG379" s="12"/>
      <c r="AH379" s="12"/>
      <c r="AI379" s="12"/>
    </row>
    <row r="380" spans="1:35" s="10" customFormat="1" x14ac:dyDescent="0.25">
      <c r="A380" s="12"/>
      <c r="B380" s="12"/>
      <c r="C380" s="12"/>
      <c r="D380"/>
      <c r="E380"/>
      <c r="F380"/>
      <c r="G380" s="3"/>
      <c r="H380" s="3"/>
      <c r="I380" s="3"/>
      <c r="J380" s="3"/>
      <c r="K380"/>
      <c r="L380"/>
      <c r="M380"/>
      <c r="N380" s="3"/>
      <c r="O380" s="3"/>
      <c r="P380" s="3"/>
      <c r="Q380" s="3"/>
      <c r="R380" s="3"/>
      <c r="S380"/>
      <c r="T380"/>
      <c r="U380"/>
      <c r="V380"/>
      <c r="W380" s="12"/>
      <c r="X380" s="12"/>
      <c r="Y380" s="12"/>
      <c r="Z380" s="12"/>
      <c r="AA380" s="12"/>
      <c r="AB380" s="12"/>
      <c r="AC380" s="12"/>
      <c r="AD380" s="12"/>
      <c r="AE380" s="12"/>
      <c r="AF380" s="12"/>
      <c r="AG380" s="12"/>
      <c r="AH380" s="12"/>
      <c r="AI380" s="12"/>
    </row>
    <row r="381" spans="1:35" s="10" customFormat="1" x14ac:dyDescent="0.25">
      <c r="A381" s="12"/>
      <c r="B381" s="12"/>
      <c r="C381" s="12"/>
      <c r="D381"/>
      <c r="E381"/>
      <c r="F381"/>
      <c r="G381" s="3"/>
      <c r="H381" s="3"/>
      <c r="I381" s="3"/>
      <c r="J381" s="3"/>
      <c r="K381"/>
      <c r="L381"/>
      <c r="M381"/>
      <c r="N381" s="3"/>
      <c r="O381" s="3"/>
      <c r="P381" s="3"/>
      <c r="Q381" s="3"/>
      <c r="R381" s="3"/>
      <c r="S381"/>
      <c r="T381"/>
      <c r="U381"/>
      <c r="V381"/>
      <c r="W381" s="12"/>
      <c r="X381" s="12"/>
      <c r="Y381" s="12"/>
      <c r="Z381" s="12"/>
      <c r="AA381" s="12"/>
      <c r="AB381" s="12"/>
      <c r="AC381" s="12"/>
      <c r="AD381" s="12"/>
      <c r="AE381" s="12"/>
      <c r="AF381" s="12"/>
      <c r="AG381" s="12"/>
      <c r="AH381" s="12"/>
      <c r="AI381" s="12"/>
    </row>
    <row r="382" spans="1:35" s="10" customFormat="1" x14ac:dyDescent="0.25">
      <c r="A382" s="12"/>
      <c r="B382" s="12"/>
      <c r="C382" s="12"/>
      <c r="D382"/>
      <c r="E382"/>
      <c r="F382"/>
      <c r="G382" s="3"/>
      <c r="H382" s="3"/>
      <c r="I382" s="3"/>
      <c r="J382" s="3"/>
      <c r="K382"/>
      <c r="L382"/>
      <c r="M382"/>
      <c r="N382" s="3"/>
      <c r="O382" s="3"/>
      <c r="P382" s="3"/>
      <c r="Q382" s="3"/>
      <c r="R382" s="3"/>
      <c r="S382"/>
      <c r="T382"/>
      <c r="U382"/>
      <c r="V382"/>
      <c r="W382" s="12"/>
      <c r="X382" s="12"/>
      <c r="Y382" s="12"/>
      <c r="Z382" s="12"/>
      <c r="AA382" s="12"/>
      <c r="AB382" s="12"/>
      <c r="AC382" s="12"/>
      <c r="AD382" s="12"/>
      <c r="AE382" s="12"/>
      <c r="AF382" s="12"/>
      <c r="AG382" s="12"/>
      <c r="AH382" s="12"/>
      <c r="AI382" s="12"/>
    </row>
    <row r="383" spans="1:35" s="10" customFormat="1" x14ac:dyDescent="0.25">
      <c r="A383" s="12"/>
      <c r="B383" s="12"/>
      <c r="C383" s="12"/>
      <c r="D383"/>
      <c r="E383"/>
      <c r="F383"/>
      <c r="G383" s="3"/>
      <c r="H383" s="3"/>
      <c r="I383" s="3"/>
      <c r="J383" s="3"/>
      <c r="K383"/>
      <c r="L383"/>
      <c r="M383"/>
      <c r="N383" s="3"/>
      <c r="O383" s="3"/>
      <c r="P383" s="3"/>
      <c r="Q383" s="3"/>
      <c r="R383" s="3"/>
      <c r="S383"/>
      <c r="T383"/>
      <c r="U383"/>
      <c r="V383"/>
      <c r="W383" s="12"/>
      <c r="X383" s="12"/>
      <c r="Y383" s="12"/>
      <c r="Z383" s="12"/>
      <c r="AA383" s="12"/>
      <c r="AB383" s="12"/>
      <c r="AC383" s="12"/>
      <c r="AD383" s="12"/>
      <c r="AE383" s="12"/>
      <c r="AF383" s="12"/>
      <c r="AG383" s="12"/>
      <c r="AH383" s="12"/>
      <c r="AI383" s="12"/>
    </row>
    <row r="384" spans="1:35" s="10" customFormat="1" x14ac:dyDescent="0.25">
      <c r="A384" s="12"/>
      <c r="B384" s="12"/>
      <c r="C384" s="12"/>
      <c r="D384"/>
      <c r="E384"/>
      <c r="F384"/>
      <c r="G384" s="3"/>
      <c r="H384" s="3"/>
      <c r="I384" s="3"/>
      <c r="J384" s="3"/>
      <c r="K384"/>
      <c r="L384"/>
      <c r="M384"/>
      <c r="N384" s="3"/>
      <c r="O384" s="3"/>
      <c r="P384" s="3"/>
      <c r="Q384" s="3"/>
      <c r="R384" s="3"/>
      <c r="S384"/>
      <c r="T384"/>
      <c r="U384"/>
      <c r="V384"/>
      <c r="W384" s="12"/>
      <c r="X384" s="12"/>
      <c r="Y384" s="12"/>
      <c r="Z384" s="12"/>
      <c r="AA384" s="12"/>
      <c r="AB384" s="12"/>
      <c r="AC384" s="12"/>
      <c r="AD384" s="12"/>
      <c r="AE384" s="12"/>
      <c r="AF384" s="12"/>
      <c r="AG384" s="12"/>
      <c r="AH384" s="12"/>
      <c r="AI384" s="12"/>
    </row>
    <row r="385" spans="1:35" s="10" customFormat="1" x14ac:dyDescent="0.25">
      <c r="A385" s="12"/>
      <c r="B385" s="12"/>
      <c r="C385" s="12"/>
      <c r="D385"/>
      <c r="E385"/>
      <c r="F385"/>
      <c r="G385" s="3"/>
      <c r="H385" s="3"/>
      <c r="I385" s="3"/>
      <c r="J385" s="3"/>
      <c r="K385"/>
      <c r="L385"/>
      <c r="M385"/>
      <c r="N385" s="3"/>
      <c r="O385" s="3"/>
      <c r="P385" s="3"/>
      <c r="Q385" s="3"/>
      <c r="R385" s="3"/>
      <c r="S385"/>
      <c r="T385"/>
      <c r="U385"/>
      <c r="V385"/>
      <c r="W385" s="12"/>
      <c r="X385" s="12"/>
      <c r="Y385" s="12"/>
      <c r="Z385" s="12"/>
      <c r="AA385" s="12"/>
      <c r="AB385" s="12"/>
      <c r="AC385" s="12"/>
      <c r="AD385" s="12"/>
      <c r="AE385" s="12"/>
      <c r="AF385" s="12"/>
      <c r="AG385" s="12"/>
      <c r="AH385" s="12"/>
      <c r="AI385" s="12"/>
    </row>
    <row r="386" spans="1:35" s="10" customFormat="1" x14ac:dyDescent="0.25">
      <c r="A386" s="12"/>
      <c r="B386" s="12"/>
      <c r="C386" s="12"/>
      <c r="D386"/>
      <c r="E386"/>
      <c r="F386"/>
      <c r="G386" s="3"/>
      <c r="H386" s="3"/>
      <c r="I386" s="3"/>
      <c r="J386" s="3"/>
      <c r="K386"/>
      <c r="L386"/>
      <c r="M386"/>
      <c r="N386" s="3"/>
      <c r="O386" s="3"/>
      <c r="P386" s="3"/>
      <c r="Q386" s="3"/>
      <c r="R386" s="3"/>
      <c r="S386"/>
      <c r="T386"/>
      <c r="U386"/>
      <c r="V386"/>
      <c r="W386" s="12"/>
      <c r="X386" s="12"/>
      <c r="Y386" s="12"/>
      <c r="Z386" s="12"/>
      <c r="AA386" s="12"/>
      <c r="AB386" s="12"/>
      <c r="AC386" s="12"/>
      <c r="AD386" s="12"/>
      <c r="AE386" s="12"/>
      <c r="AF386" s="12"/>
      <c r="AG386" s="12"/>
      <c r="AH386" s="12"/>
      <c r="AI386" s="12"/>
    </row>
    <row r="387" spans="1:35" s="10" customFormat="1" x14ac:dyDescent="0.25">
      <c r="A387" s="12"/>
      <c r="B387" s="12"/>
      <c r="C387" s="12"/>
      <c r="D387"/>
      <c r="E387"/>
      <c r="F387"/>
      <c r="G387" s="3"/>
      <c r="H387" s="3"/>
      <c r="I387" s="3"/>
      <c r="J387" s="3"/>
      <c r="K387"/>
      <c r="L387"/>
      <c r="M387"/>
      <c r="N387" s="3"/>
      <c r="O387" s="3"/>
      <c r="P387" s="3"/>
      <c r="Q387" s="3"/>
      <c r="R387" s="3"/>
      <c r="S387"/>
      <c r="T387"/>
      <c r="U387"/>
      <c r="V387"/>
      <c r="W387" s="12"/>
      <c r="X387" s="12"/>
      <c r="Y387" s="12"/>
      <c r="Z387" s="12"/>
      <c r="AA387" s="12"/>
      <c r="AB387" s="12"/>
      <c r="AC387" s="12"/>
      <c r="AD387" s="12"/>
      <c r="AE387" s="12"/>
      <c r="AF387" s="12"/>
      <c r="AG387" s="12"/>
      <c r="AH387" s="12"/>
      <c r="AI387" s="12"/>
    </row>
    <row r="388" spans="1:35" s="10" customFormat="1" x14ac:dyDescent="0.25">
      <c r="A388" s="12"/>
      <c r="B388" s="12"/>
      <c r="C388" s="12"/>
      <c r="D388"/>
      <c r="E388"/>
      <c r="F388"/>
      <c r="G388" s="3"/>
      <c r="H388" s="3"/>
      <c r="I388" s="3"/>
      <c r="J388" s="3"/>
      <c r="K388"/>
      <c r="L388"/>
      <c r="M388"/>
      <c r="N388" s="3"/>
      <c r="O388" s="3"/>
      <c r="P388" s="3"/>
      <c r="Q388" s="3"/>
      <c r="R388" s="3"/>
      <c r="S388"/>
      <c r="T388"/>
      <c r="U388"/>
      <c r="V388"/>
      <c r="W388" s="12"/>
      <c r="X388" s="12"/>
      <c r="Y388" s="12"/>
      <c r="Z388" s="12"/>
      <c r="AA388" s="12"/>
      <c r="AB388" s="12"/>
      <c r="AC388" s="12"/>
      <c r="AD388" s="12"/>
      <c r="AE388" s="12"/>
      <c r="AF388" s="12"/>
      <c r="AG388" s="12"/>
      <c r="AH388" s="12"/>
      <c r="AI388" s="12"/>
    </row>
    <row r="389" spans="1:35" s="10" customFormat="1" x14ac:dyDescent="0.25">
      <c r="A389" s="12"/>
      <c r="B389" s="12"/>
      <c r="C389" s="12"/>
      <c r="D389"/>
      <c r="E389"/>
      <c r="F389"/>
      <c r="G389" s="3"/>
      <c r="H389" s="3"/>
      <c r="I389" s="3"/>
      <c r="J389" s="3"/>
      <c r="K389"/>
      <c r="L389"/>
      <c r="M389"/>
      <c r="N389" s="3"/>
      <c r="O389" s="3"/>
      <c r="P389" s="3"/>
      <c r="Q389" s="3"/>
      <c r="R389" s="3"/>
      <c r="S389"/>
      <c r="T389"/>
      <c r="U389"/>
      <c r="V389"/>
      <c r="W389" s="12"/>
      <c r="X389" s="12"/>
      <c r="Y389" s="12"/>
      <c r="Z389" s="12"/>
      <c r="AA389" s="12"/>
      <c r="AB389" s="12"/>
      <c r="AC389" s="12"/>
      <c r="AD389" s="12"/>
      <c r="AE389" s="12"/>
      <c r="AF389" s="12"/>
      <c r="AG389" s="12"/>
      <c r="AH389" s="12"/>
      <c r="AI389" s="12"/>
    </row>
    <row r="390" spans="1:35" s="10" customFormat="1" x14ac:dyDescent="0.25">
      <c r="A390" s="12"/>
      <c r="B390" s="12"/>
      <c r="C390" s="12"/>
      <c r="D390"/>
      <c r="E390"/>
      <c r="F390"/>
      <c r="G390" s="3"/>
      <c r="H390" s="3"/>
      <c r="I390" s="3"/>
      <c r="J390" s="3"/>
      <c r="K390"/>
      <c r="L390"/>
      <c r="M390"/>
      <c r="N390" s="3"/>
      <c r="O390" s="3"/>
      <c r="P390" s="3"/>
      <c r="Q390" s="3"/>
      <c r="R390" s="3"/>
      <c r="S390"/>
      <c r="T390"/>
      <c r="U390"/>
      <c r="V390"/>
      <c r="W390" s="12"/>
      <c r="X390" s="12"/>
      <c r="Y390" s="12"/>
      <c r="Z390" s="12"/>
      <c r="AA390" s="12"/>
      <c r="AB390" s="12"/>
      <c r="AC390" s="12"/>
      <c r="AD390" s="12"/>
      <c r="AE390" s="12"/>
      <c r="AF390" s="12"/>
      <c r="AG390" s="12"/>
      <c r="AH390" s="12"/>
      <c r="AI390" s="12"/>
    </row>
    <row r="391" spans="1:35" s="10" customFormat="1" x14ac:dyDescent="0.25">
      <c r="A391" s="12"/>
      <c r="B391" s="12"/>
      <c r="C391" s="12"/>
      <c r="D391"/>
      <c r="E391"/>
      <c r="F391"/>
      <c r="G391" s="3"/>
      <c r="H391" s="3"/>
      <c r="I391" s="3"/>
      <c r="J391" s="3"/>
      <c r="K391"/>
      <c r="L391"/>
      <c r="M391"/>
      <c r="N391" s="3"/>
      <c r="O391" s="3"/>
      <c r="P391" s="3"/>
      <c r="Q391" s="3"/>
      <c r="R391" s="3"/>
      <c r="S391"/>
      <c r="T391"/>
      <c r="U391"/>
      <c r="V391"/>
      <c r="W391" s="12"/>
      <c r="X391" s="12"/>
      <c r="Y391" s="12"/>
      <c r="Z391" s="12"/>
      <c r="AA391" s="12"/>
      <c r="AB391" s="12"/>
      <c r="AC391" s="12"/>
      <c r="AD391" s="12"/>
      <c r="AE391" s="12"/>
      <c r="AF391" s="12"/>
      <c r="AG391" s="12"/>
      <c r="AH391" s="12"/>
      <c r="AI391" s="12"/>
    </row>
    <row r="392" spans="1:35" s="10" customFormat="1" x14ac:dyDescent="0.25">
      <c r="A392" s="12"/>
      <c r="B392" s="12"/>
      <c r="C392" s="12"/>
      <c r="D392"/>
      <c r="E392"/>
      <c r="F392"/>
      <c r="G392" s="3"/>
      <c r="H392" s="3"/>
      <c r="I392" s="3"/>
      <c r="J392" s="3"/>
      <c r="K392"/>
      <c r="L392"/>
      <c r="M392"/>
      <c r="N392" s="3"/>
      <c r="O392" s="3"/>
      <c r="P392" s="3"/>
      <c r="Q392" s="3"/>
      <c r="R392" s="3"/>
      <c r="S392"/>
      <c r="T392"/>
      <c r="U392"/>
      <c r="V392"/>
      <c r="W392" s="12"/>
      <c r="X392" s="12"/>
      <c r="Y392" s="12"/>
      <c r="Z392" s="12"/>
      <c r="AA392" s="12"/>
      <c r="AB392" s="12"/>
      <c r="AC392" s="12"/>
      <c r="AD392" s="12"/>
      <c r="AE392" s="12"/>
      <c r="AF392" s="12"/>
      <c r="AG392" s="12"/>
      <c r="AH392" s="12"/>
      <c r="AI392" s="12"/>
    </row>
    <row r="393" spans="1:35" s="10" customFormat="1" x14ac:dyDescent="0.25">
      <c r="A393" s="12"/>
      <c r="B393" s="12"/>
      <c r="C393" s="12"/>
      <c r="D393"/>
      <c r="E393"/>
      <c r="F393"/>
      <c r="G393" s="3"/>
      <c r="H393" s="3"/>
      <c r="I393" s="3"/>
      <c r="J393" s="3"/>
      <c r="K393"/>
      <c r="L393"/>
      <c r="M393"/>
      <c r="N393" s="3"/>
      <c r="O393" s="3"/>
      <c r="P393" s="3"/>
      <c r="Q393" s="3"/>
      <c r="R393" s="3"/>
      <c r="S393"/>
      <c r="T393"/>
      <c r="U393"/>
      <c r="V393"/>
      <c r="W393" s="12"/>
      <c r="X393" s="12"/>
      <c r="Y393" s="12"/>
      <c r="Z393" s="12"/>
      <c r="AA393" s="12"/>
      <c r="AB393" s="12"/>
      <c r="AC393" s="12"/>
      <c r="AD393" s="12"/>
      <c r="AE393" s="12"/>
      <c r="AF393" s="12"/>
      <c r="AG393" s="12"/>
      <c r="AH393" s="12"/>
      <c r="AI393" s="12"/>
    </row>
    <row r="394" spans="1:35" s="10" customFormat="1" x14ac:dyDescent="0.25">
      <c r="A394" s="12"/>
      <c r="B394" s="12"/>
      <c r="C394" s="12"/>
      <c r="D394"/>
      <c r="E394"/>
      <c r="F394"/>
      <c r="G394" s="3"/>
      <c r="H394" s="3"/>
      <c r="I394" s="3"/>
      <c r="J394" s="3"/>
      <c r="K394"/>
      <c r="L394"/>
      <c r="M394"/>
      <c r="N394" s="3"/>
      <c r="O394" s="3"/>
      <c r="P394" s="3"/>
      <c r="Q394" s="3"/>
      <c r="R394" s="3"/>
      <c r="S394"/>
      <c r="T394"/>
      <c r="U394"/>
      <c r="V394"/>
      <c r="W394" s="12"/>
      <c r="X394" s="12"/>
      <c r="Y394" s="12"/>
      <c r="Z394" s="12"/>
      <c r="AA394" s="12"/>
      <c r="AB394" s="12"/>
      <c r="AC394" s="12"/>
      <c r="AD394" s="12"/>
      <c r="AE394" s="12"/>
      <c r="AF394" s="12"/>
      <c r="AG394" s="12"/>
      <c r="AH394" s="12"/>
      <c r="AI394" s="12"/>
    </row>
    <row r="395" spans="1:35" s="10" customFormat="1" x14ac:dyDescent="0.25">
      <c r="A395" s="12"/>
      <c r="B395" s="12"/>
      <c r="C395" s="12"/>
      <c r="D395"/>
      <c r="E395"/>
      <c r="F395"/>
      <c r="G395" s="3"/>
      <c r="H395" s="3"/>
      <c r="I395" s="3"/>
      <c r="J395" s="3"/>
      <c r="K395"/>
      <c r="L395"/>
      <c r="M395"/>
      <c r="N395" s="3"/>
      <c r="O395" s="3"/>
      <c r="P395" s="3"/>
      <c r="Q395" s="3"/>
      <c r="R395" s="3"/>
      <c r="S395"/>
      <c r="T395"/>
      <c r="U395"/>
      <c r="V395"/>
      <c r="W395" s="12"/>
      <c r="X395" s="12"/>
      <c r="Y395" s="12"/>
      <c r="Z395" s="12"/>
      <c r="AA395" s="12"/>
      <c r="AB395" s="12"/>
      <c r="AC395" s="12"/>
      <c r="AD395" s="12"/>
      <c r="AE395" s="12"/>
      <c r="AF395" s="12"/>
      <c r="AG395" s="12"/>
      <c r="AH395" s="12"/>
      <c r="AI395" s="12"/>
    </row>
    <row r="396" spans="1:35" s="10" customFormat="1" x14ac:dyDescent="0.25">
      <c r="A396" s="12"/>
      <c r="B396" s="12"/>
      <c r="C396" s="12"/>
      <c r="D396"/>
      <c r="E396"/>
      <c r="F396"/>
      <c r="G396" s="3"/>
      <c r="H396" s="3"/>
      <c r="I396" s="3"/>
      <c r="J396" s="3"/>
      <c r="K396"/>
      <c r="L396"/>
      <c r="M396"/>
      <c r="N396" s="3"/>
      <c r="O396" s="3"/>
      <c r="P396" s="3"/>
      <c r="Q396" s="3"/>
      <c r="R396" s="3"/>
      <c r="S396"/>
      <c r="T396"/>
      <c r="U396"/>
      <c r="V396"/>
      <c r="W396" s="12"/>
      <c r="X396" s="12"/>
      <c r="Y396" s="12"/>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s="15"/>
      <c r="E434"/>
      <c r="F434"/>
      <c r="G434" s="3"/>
      <c r="H434" s="3"/>
      <c r="I434" s="3"/>
      <c r="J434" s="3"/>
      <c r="K434"/>
      <c r="L434"/>
      <c r="M434"/>
      <c r="N434" s="3"/>
      <c r="O434" s="3"/>
      <c r="P434" s="3"/>
      <c r="Q434" s="3"/>
      <c r="R434" s="3"/>
      <c r="S434"/>
      <c r="T434"/>
      <c r="U434" s="12"/>
      <c r="V434" s="12"/>
      <c r="W434" s="12"/>
      <c r="X434" s="12"/>
      <c r="Y434" s="12"/>
      <c r="Z434" s="12"/>
      <c r="AA434" s="12"/>
      <c r="AB434" s="12"/>
      <c r="AC434" s="12"/>
      <c r="AD434" s="12"/>
      <c r="AE434" s="12"/>
      <c r="AF434" s="12"/>
      <c r="AG434" s="12"/>
      <c r="AH434" s="12"/>
      <c r="AI434" s="12"/>
    </row>
    <row r="435" spans="1:35" s="10" customFormat="1" x14ac:dyDescent="0.25">
      <c r="A435" s="12"/>
      <c r="B435" s="12"/>
      <c r="C435" s="12"/>
      <c r="D435" s="15"/>
      <c r="E435"/>
      <c r="F435"/>
      <c r="G435" s="3"/>
      <c r="H435" s="3"/>
      <c r="I435" s="3"/>
      <c r="J435" s="3"/>
      <c r="K435"/>
      <c r="L435"/>
      <c r="M435"/>
      <c r="N435" s="3"/>
      <c r="O435" s="3"/>
      <c r="P435" s="3"/>
      <c r="Q435" s="3"/>
      <c r="R435" s="3"/>
      <c r="S435"/>
      <c r="T435"/>
      <c r="U435" s="12"/>
      <c r="V435" s="12"/>
      <c r="W435" s="12"/>
      <c r="X435" s="12"/>
      <c r="Y435" s="12"/>
      <c r="Z435" s="12"/>
      <c r="AA435" s="12"/>
      <c r="AB435" s="12"/>
      <c r="AC435" s="12"/>
      <c r="AD435" s="12"/>
      <c r="AE435" s="12"/>
      <c r="AF435" s="12"/>
      <c r="AG435" s="12"/>
      <c r="AH435" s="12"/>
      <c r="AI435" s="12"/>
    </row>
    <row r="436" spans="1:35" s="10" customFormat="1" x14ac:dyDescent="0.25">
      <c r="A436" s="12"/>
      <c r="B436" s="12"/>
      <c r="C436" s="12"/>
      <c r="D436" s="15"/>
      <c r="E436"/>
      <c r="F436"/>
      <c r="G436" s="3"/>
      <c r="H436" s="3"/>
      <c r="I436" s="3"/>
      <c r="J436" s="3"/>
      <c r="K436"/>
      <c r="L436"/>
      <c r="M436"/>
      <c r="N436" s="3"/>
      <c r="O436" s="3"/>
      <c r="P436" s="3"/>
      <c r="Q436" s="3"/>
      <c r="R436" s="3"/>
      <c r="S436"/>
      <c r="T436"/>
      <c r="U436" s="12"/>
      <c r="V436" s="12"/>
      <c r="W436" s="12"/>
      <c r="X436" s="12"/>
      <c r="Y436" s="12"/>
      <c r="Z436" s="12"/>
      <c r="AA436" s="12"/>
      <c r="AB436" s="12"/>
      <c r="AC436" s="12"/>
      <c r="AD436" s="12"/>
      <c r="AE436" s="12"/>
      <c r="AF436" s="12"/>
      <c r="AG436" s="12"/>
      <c r="AH436" s="12"/>
      <c r="AI436" s="12"/>
    </row>
    <row r="437" spans="1:35" s="10" customFormat="1" x14ac:dyDescent="0.25">
      <c r="A437" s="12"/>
      <c r="B437" s="12"/>
      <c r="C437" s="12"/>
      <c r="D437" s="12"/>
      <c r="E437"/>
      <c r="F437"/>
      <c r="G437" s="3"/>
      <c r="H437" s="3"/>
      <c r="I437" s="3"/>
      <c r="J437" s="3"/>
      <c r="K437"/>
      <c r="L437"/>
      <c r="M437"/>
      <c r="N437" s="3"/>
      <c r="O437" s="3"/>
      <c r="P437" s="3"/>
      <c r="Q437" s="3"/>
      <c r="R437" s="3"/>
      <c r="S437"/>
      <c r="T437"/>
      <c r="U437" s="12"/>
      <c r="V437" s="12"/>
      <c r="W437" s="12"/>
      <c r="X437" s="12"/>
      <c r="Y437" s="12"/>
      <c r="Z437" s="12"/>
      <c r="AA437" s="12"/>
      <c r="AB437" s="12"/>
      <c r="AC437" s="12"/>
      <c r="AD437" s="12"/>
      <c r="AE437" s="12"/>
      <c r="AF437" s="12"/>
      <c r="AG437" s="12"/>
      <c r="AH437" s="12"/>
      <c r="AI437" s="12"/>
    </row>
    <row r="438" spans="1:35" s="10" customFormat="1" x14ac:dyDescent="0.25">
      <c r="A438" s="12"/>
      <c r="B438" s="12"/>
      <c r="C438" s="12"/>
      <c r="D438" s="12"/>
      <c r="E438"/>
      <c r="F438"/>
      <c r="G438" s="3"/>
      <c r="H438" s="3"/>
      <c r="I438" s="3"/>
      <c r="J438" s="3"/>
      <c r="K438"/>
      <c r="L438"/>
      <c r="M438"/>
      <c r="N438" s="3"/>
      <c r="O438" s="3"/>
      <c r="P438" s="3"/>
      <c r="Q438" s="3"/>
      <c r="R438" s="3"/>
      <c r="S438"/>
      <c r="T438"/>
      <c r="U438" s="12"/>
      <c r="V438" s="12"/>
      <c r="W438" s="12"/>
      <c r="X438" s="12"/>
      <c r="Y438" s="12"/>
      <c r="Z438" s="12"/>
      <c r="AA438" s="12"/>
      <c r="AB438" s="12"/>
      <c r="AC438" s="12"/>
      <c r="AD438" s="12"/>
      <c r="AE438" s="12"/>
      <c r="AF438" s="12"/>
      <c r="AG438" s="12"/>
      <c r="AH438" s="12"/>
      <c r="AI438" s="12"/>
    </row>
    <row r="439" spans="1:35" s="10" customFormat="1" x14ac:dyDescent="0.25">
      <c r="A439" s="12"/>
      <c r="B439" s="12"/>
      <c r="C439" s="12"/>
      <c r="D439" s="12"/>
      <c r="E439" s="12"/>
      <c r="G439" s="14"/>
      <c r="H439" s="17"/>
      <c r="I439" s="14"/>
      <c r="M439" s="12"/>
      <c r="T439" s="12"/>
      <c r="U439" s="12"/>
      <c r="V439" s="12"/>
      <c r="W439" s="12"/>
      <c r="X439" s="12"/>
      <c r="Y439" s="12"/>
      <c r="Z439" s="12"/>
      <c r="AA439" s="12"/>
      <c r="AB439" s="12"/>
      <c r="AC439" s="12"/>
      <c r="AD439" s="12"/>
      <c r="AE439" s="12"/>
      <c r="AF439" s="12"/>
      <c r="AG439" s="12"/>
      <c r="AH439" s="12"/>
      <c r="AI439" s="12"/>
    </row>
    <row r="440" spans="1:35" s="10" customFormat="1" x14ac:dyDescent="0.25">
      <c r="A440" s="12"/>
      <c r="B440" s="12"/>
      <c r="C440" s="12"/>
      <c r="D440" s="12"/>
      <c r="E440" s="12"/>
      <c r="G440" s="14"/>
      <c r="H440" s="17"/>
      <c r="I440" s="14"/>
      <c r="M440" s="12"/>
      <c r="T440" s="12"/>
      <c r="U440" s="12"/>
      <c r="V440" s="12"/>
      <c r="W440" s="12"/>
      <c r="X440" s="12"/>
      <c r="Y440" s="12"/>
      <c r="Z440" s="12"/>
      <c r="AA440" s="12"/>
      <c r="AB440" s="12"/>
      <c r="AC440" s="12"/>
      <c r="AD440" s="12"/>
      <c r="AE440" s="12"/>
      <c r="AF440" s="12"/>
      <c r="AG440" s="12"/>
      <c r="AH440" s="12"/>
      <c r="AI440" s="12"/>
    </row>
    <row r="441" spans="1:35" s="10" customFormat="1" x14ac:dyDescent="0.25">
      <c r="A441" s="12"/>
      <c r="B441" s="12"/>
      <c r="C441" s="12"/>
      <c r="D441" s="12"/>
      <c r="E441" s="12"/>
      <c r="G441" s="14"/>
      <c r="H441" s="17"/>
      <c r="I441" s="14"/>
      <c r="M441" s="12"/>
      <c r="T441" s="12"/>
      <c r="U441" s="12"/>
      <c r="V441" s="12"/>
      <c r="W441" s="12"/>
      <c r="X441" s="12"/>
      <c r="Y441" s="12"/>
      <c r="Z441" s="12"/>
      <c r="AA441" s="12"/>
      <c r="AB441" s="12"/>
      <c r="AC441" s="12"/>
      <c r="AD441" s="12"/>
      <c r="AE441" s="12"/>
      <c r="AF441" s="12"/>
      <c r="AG441" s="12"/>
      <c r="AH441" s="12"/>
      <c r="AI441" s="12"/>
    </row>
    <row r="442" spans="1:35" s="10" customFormat="1" x14ac:dyDescent="0.25">
      <c r="A442" s="12"/>
      <c r="B442" s="12"/>
      <c r="C442" s="12"/>
      <c r="D442" s="12"/>
      <c r="E442" s="12"/>
      <c r="G442" s="14"/>
      <c r="H442" s="17"/>
      <c r="I442" s="14"/>
      <c r="M442" s="12"/>
      <c r="T442" s="12"/>
      <c r="U442" s="12"/>
      <c r="V442" s="12"/>
      <c r="W442" s="12"/>
      <c r="X442" s="12"/>
      <c r="Y442" s="12"/>
      <c r="Z442" s="12"/>
      <c r="AA442" s="12"/>
      <c r="AB442" s="12"/>
      <c r="AC442" s="12"/>
      <c r="AD442" s="12"/>
      <c r="AE442" s="12"/>
      <c r="AF442" s="12"/>
      <c r="AG442" s="12"/>
      <c r="AH442" s="12"/>
      <c r="AI442" s="12"/>
    </row>
    <row r="443" spans="1:35" s="10" customFormat="1" x14ac:dyDescent="0.25">
      <c r="A443" s="12"/>
      <c r="B443" s="12"/>
      <c r="C443" s="12"/>
      <c r="D443" s="12"/>
      <c r="E443" s="12"/>
      <c r="G443" s="14"/>
      <c r="H443" s="17"/>
      <c r="I443" s="14"/>
      <c r="M443" s="12"/>
      <c r="T443" s="12"/>
      <c r="U443" s="12"/>
      <c r="V443" s="12"/>
      <c r="W443" s="12"/>
      <c r="X443" s="12"/>
      <c r="Y443" s="12"/>
      <c r="Z443" s="12"/>
      <c r="AA443" s="12"/>
      <c r="AB443" s="12"/>
      <c r="AC443" s="12"/>
      <c r="AD443" s="12"/>
      <c r="AE443" s="12"/>
      <c r="AF443" s="12"/>
      <c r="AG443" s="12"/>
      <c r="AH443" s="12"/>
      <c r="AI443" s="12"/>
    </row>
    <row r="444" spans="1:35" s="10" customFormat="1" x14ac:dyDescent="0.25">
      <c r="A444" s="12"/>
      <c r="B444" s="12"/>
      <c r="C444" s="12"/>
      <c r="D444" s="12"/>
      <c r="E444" s="12"/>
      <c r="G444" s="14"/>
      <c r="H444" s="17"/>
      <c r="I444" s="14"/>
      <c r="M444" s="12"/>
      <c r="T444" s="12"/>
      <c r="U444" s="12"/>
      <c r="V444" s="12"/>
      <c r="W444" s="12"/>
      <c r="X444" s="12"/>
      <c r="Y444" s="12"/>
      <c r="Z444" s="12"/>
      <c r="AA444" s="12"/>
      <c r="AB444" s="12"/>
      <c r="AC444" s="12"/>
      <c r="AD444" s="12"/>
      <c r="AE444" s="12"/>
      <c r="AF444" s="12"/>
      <c r="AG444" s="12"/>
      <c r="AH444" s="12"/>
      <c r="AI444" s="12"/>
    </row>
    <row r="445" spans="1:35" s="10" customFormat="1" x14ac:dyDescent="0.25">
      <c r="A445" s="12"/>
      <c r="B445" s="12"/>
      <c r="C445" s="12"/>
      <c r="D445" s="12"/>
      <c r="E445" s="12"/>
      <c r="G445" s="14"/>
      <c r="H445" s="17"/>
      <c r="I445" s="14"/>
      <c r="M445" s="12"/>
      <c r="T445" s="12"/>
      <c r="U445" s="12"/>
      <c r="V445" s="12"/>
      <c r="W445" s="12"/>
      <c r="X445" s="12"/>
      <c r="Y445" s="12"/>
      <c r="Z445" s="12"/>
      <c r="AA445" s="12"/>
      <c r="AB445" s="12"/>
      <c r="AC445" s="12"/>
      <c r="AD445" s="12"/>
      <c r="AE445" s="12"/>
      <c r="AF445" s="12"/>
      <c r="AG445" s="12"/>
      <c r="AH445" s="12"/>
      <c r="AI445" s="12"/>
    </row>
    <row r="446" spans="1:35" s="10" customFormat="1" x14ac:dyDescent="0.25">
      <c r="A446" s="12"/>
      <c r="B446" s="12"/>
      <c r="C446" s="12"/>
      <c r="D446" s="12"/>
      <c r="E446" s="12"/>
      <c r="G446" s="14"/>
      <c r="H446" s="17"/>
      <c r="I446" s="14"/>
      <c r="M446" s="12"/>
      <c r="T446" s="12"/>
      <c r="U446" s="12"/>
      <c r="V446" s="12"/>
      <c r="W446" s="12"/>
      <c r="X446" s="12"/>
      <c r="Y446" s="12"/>
      <c r="Z446" s="12"/>
      <c r="AA446" s="12"/>
      <c r="AB446" s="12"/>
      <c r="AC446" s="12"/>
      <c r="AD446" s="12"/>
      <c r="AE446" s="12"/>
      <c r="AF446" s="12"/>
      <c r="AG446" s="12"/>
      <c r="AH446" s="12"/>
      <c r="AI446" s="12"/>
    </row>
    <row r="447" spans="1:35" s="10" customFormat="1" x14ac:dyDescent="0.25">
      <c r="A447" s="12"/>
      <c r="B447" s="12"/>
      <c r="C447" s="12"/>
      <c r="D447" s="12"/>
      <c r="E447" s="12"/>
      <c r="G447" s="14"/>
      <c r="H447" s="17"/>
      <c r="I447" s="14"/>
      <c r="M447" s="12"/>
      <c r="T447" s="12"/>
      <c r="U447" s="12"/>
      <c r="V447" s="12"/>
      <c r="W447" s="12"/>
      <c r="X447" s="12"/>
      <c r="Y447" s="12"/>
      <c r="Z447" s="12"/>
      <c r="AA447" s="12"/>
      <c r="AB447" s="12"/>
      <c r="AC447" s="12"/>
      <c r="AD447" s="12"/>
      <c r="AE447" s="12"/>
      <c r="AF447" s="12"/>
      <c r="AG447" s="12"/>
      <c r="AH447" s="12"/>
      <c r="AI447" s="12"/>
    </row>
    <row r="448" spans="1:35" s="10" customFormat="1" x14ac:dyDescent="0.25">
      <c r="A448" s="12"/>
      <c r="B448" s="12"/>
      <c r="C448" s="12"/>
      <c r="D448" s="12"/>
      <c r="E448" s="12"/>
      <c r="G448" s="14"/>
      <c r="H448" s="17"/>
      <c r="I448" s="14"/>
      <c r="M448" s="12"/>
      <c r="T448" s="12"/>
      <c r="U448" s="12"/>
      <c r="V448" s="12"/>
      <c r="W448" s="12"/>
      <c r="X448" s="12"/>
      <c r="Y448" s="12"/>
      <c r="Z448" s="12"/>
      <c r="AA448" s="12"/>
      <c r="AB448" s="12"/>
      <c r="AC448" s="12"/>
      <c r="AD448" s="12"/>
      <c r="AE448" s="12"/>
      <c r="AF448" s="12"/>
      <c r="AG448" s="12"/>
      <c r="AH448" s="12"/>
      <c r="AI448" s="12"/>
    </row>
    <row r="449" spans="1:35" s="10" customFormat="1" x14ac:dyDescent="0.25">
      <c r="A449" s="12"/>
      <c r="B449" s="12"/>
      <c r="C449" s="12"/>
      <c r="D449" s="12"/>
      <c r="E449" s="12"/>
      <c r="G449" s="14"/>
      <c r="H449" s="17"/>
      <c r="I449" s="14"/>
      <c r="M449" s="12"/>
      <c r="T449" s="12"/>
      <c r="U449" s="12"/>
      <c r="V449" s="12"/>
      <c r="W449" s="12"/>
      <c r="X449" s="12"/>
      <c r="Y449" s="12"/>
      <c r="Z449" s="12"/>
      <c r="AA449" s="12"/>
      <c r="AB449" s="12"/>
      <c r="AC449" s="12"/>
      <c r="AD449" s="12"/>
      <c r="AE449" s="12"/>
      <c r="AF449" s="12"/>
      <c r="AG449" s="12"/>
      <c r="AH449" s="12"/>
      <c r="AI449" s="12"/>
    </row>
    <row r="450" spans="1:35" s="10" customFormat="1" x14ac:dyDescent="0.25">
      <c r="A450" s="12"/>
      <c r="B450" s="12"/>
      <c r="C450" s="12"/>
      <c r="D450" s="12"/>
      <c r="E450" s="12"/>
      <c r="G450" s="14"/>
      <c r="H450" s="17"/>
      <c r="I450" s="14"/>
      <c r="M450" s="12"/>
      <c r="T450" s="12"/>
      <c r="U450" s="12"/>
      <c r="V450" s="12"/>
      <c r="W450" s="12"/>
      <c r="X450" s="12"/>
      <c r="Y450" s="12"/>
      <c r="Z450" s="12"/>
      <c r="AA450" s="12"/>
      <c r="AB450" s="12"/>
      <c r="AC450" s="12"/>
      <c r="AD450" s="12"/>
      <c r="AE450" s="12"/>
      <c r="AF450" s="12"/>
      <c r="AG450" s="12"/>
      <c r="AH450" s="12"/>
      <c r="AI450" s="12"/>
    </row>
    <row r="451" spans="1:35" s="10" customFormat="1" x14ac:dyDescent="0.25">
      <c r="A451" s="12"/>
      <c r="B451" s="12"/>
      <c r="C451" s="12"/>
      <c r="D451" s="12"/>
      <c r="E451" s="12"/>
      <c r="G451" s="14"/>
      <c r="H451" s="17"/>
      <c r="I451" s="14"/>
      <c r="M451" s="12"/>
      <c r="T451" s="12"/>
      <c r="U451" s="12"/>
      <c r="V451" s="12"/>
      <c r="W451" s="12"/>
      <c r="X451" s="12"/>
      <c r="Y451" s="12"/>
      <c r="Z451" s="12"/>
      <c r="AA451" s="12"/>
      <c r="AB451" s="12"/>
      <c r="AC451" s="12"/>
      <c r="AD451" s="12"/>
      <c r="AE451" s="12"/>
      <c r="AF451" s="12"/>
      <c r="AG451" s="12"/>
      <c r="AH451" s="12"/>
      <c r="AI451" s="12"/>
    </row>
    <row r="452" spans="1:35" s="10" customFormat="1" x14ac:dyDescent="0.25">
      <c r="A452" s="12"/>
      <c r="B452" s="12"/>
      <c r="C452" s="12"/>
      <c r="D452" s="12"/>
      <c r="E452" s="12"/>
      <c r="G452" s="14"/>
      <c r="H452" s="17"/>
      <c r="I452" s="14"/>
      <c r="M452" s="12"/>
      <c r="T452" s="12"/>
      <c r="U452" s="12"/>
      <c r="V452" s="12"/>
      <c r="W452" s="12"/>
      <c r="X452" s="12"/>
      <c r="Y452" s="12"/>
      <c r="Z452" s="12"/>
      <c r="AA452" s="12"/>
      <c r="AB452" s="12"/>
      <c r="AC452" s="12"/>
      <c r="AD452" s="12"/>
      <c r="AE452" s="12"/>
      <c r="AF452" s="12"/>
      <c r="AG452" s="12"/>
      <c r="AH452" s="12"/>
      <c r="AI452" s="12"/>
    </row>
    <row r="453" spans="1:35" s="10" customFormat="1" x14ac:dyDescent="0.25">
      <c r="A453" s="12"/>
      <c r="B453" s="12"/>
      <c r="C453" s="12"/>
      <c r="D453" s="12"/>
      <c r="E453" s="12"/>
      <c r="G453" s="14"/>
      <c r="H453" s="17"/>
      <c r="I453" s="14"/>
      <c r="M453" s="12"/>
      <c r="T453" s="12"/>
      <c r="U453" s="12"/>
      <c r="V453" s="12"/>
      <c r="W453" s="12"/>
      <c r="X453" s="12"/>
      <c r="Y453" s="12"/>
      <c r="Z453" s="12"/>
      <c r="AA453" s="12"/>
      <c r="AB453" s="12"/>
      <c r="AC453" s="12"/>
      <c r="AD453" s="12"/>
      <c r="AE453" s="12"/>
      <c r="AF453" s="12"/>
      <c r="AG453" s="12"/>
      <c r="AH453" s="12"/>
      <c r="AI453" s="12"/>
    </row>
    <row r="454" spans="1:35" s="10" customFormat="1" x14ac:dyDescent="0.25">
      <c r="A454" s="12"/>
      <c r="B454" s="12"/>
      <c r="C454" s="12"/>
      <c r="D454" s="12"/>
      <c r="E454" s="12"/>
      <c r="G454" s="14"/>
      <c r="H454" s="17"/>
      <c r="I454" s="14"/>
      <c r="M454" s="12"/>
      <c r="T454" s="12"/>
      <c r="U454" s="12"/>
      <c r="V454" s="12"/>
      <c r="W454" s="12"/>
      <c r="X454" s="12"/>
      <c r="Y454" s="12"/>
      <c r="Z454" s="12"/>
      <c r="AA454" s="12"/>
      <c r="AB454" s="12"/>
      <c r="AC454" s="12"/>
      <c r="AD454" s="12"/>
      <c r="AE454" s="12"/>
      <c r="AF454" s="12"/>
      <c r="AG454" s="12"/>
      <c r="AH454" s="12"/>
      <c r="AI454" s="12"/>
    </row>
    <row r="455" spans="1:35" s="10" customFormat="1" x14ac:dyDescent="0.25">
      <c r="A455" s="12"/>
      <c r="B455" s="12"/>
      <c r="C455" s="12"/>
      <c r="D455" s="12"/>
      <c r="E455" s="12"/>
      <c r="G455" s="14"/>
      <c r="H455" s="17"/>
      <c r="I455" s="14"/>
      <c r="M455" s="12"/>
      <c r="T455" s="12"/>
      <c r="U455" s="12"/>
      <c r="V455" s="12"/>
      <c r="W455" s="12"/>
      <c r="X455" s="12"/>
      <c r="Y455" s="12"/>
      <c r="Z455" s="12"/>
      <c r="AA455" s="12"/>
      <c r="AB455" s="12"/>
      <c r="AC455" s="12"/>
      <c r="AD455" s="12"/>
      <c r="AE455" s="12"/>
      <c r="AF455" s="12"/>
      <c r="AG455" s="12"/>
      <c r="AH455" s="12"/>
      <c r="AI455" s="12"/>
    </row>
    <row r="456" spans="1:35" s="10" customFormat="1" x14ac:dyDescent="0.25">
      <c r="A456" s="12"/>
      <c r="B456" s="12"/>
      <c r="C456" s="12"/>
      <c r="D456" s="12"/>
      <c r="E456" s="12"/>
      <c r="G456" s="14"/>
      <c r="H456" s="17"/>
      <c r="I456" s="14"/>
      <c r="M456" s="12"/>
      <c r="T456" s="12"/>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2"/>
      <c r="E457" s="12"/>
      <c r="G457" s="14"/>
      <c r="H457" s="17"/>
      <c r="I457" s="14"/>
      <c r="M457" s="12"/>
      <c r="T457" s="12"/>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2"/>
      <c r="E458" s="12"/>
      <c r="G458" s="14"/>
      <c r="H458" s="17"/>
      <c r="I458" s="14"/>
      <c r="M458" s="12"/>
      <c r="T458" s="12"/>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s="12"/>
      <c r="G459" s="14"/>
      <c r="H459" s="17"/>
      <c r="I459" s="14"/>
      <c r="M459" s="12"/>
      <c r="T459" s="12"/>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s="12"/>
      <c r="G460" s="14"/>
      <c r="H460" s="17"/>
      <c r="I460" s="14"/>
      <c r="M460" s="12"/>
      <c r="T460" s="12"/>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80" spans="1:35" s="10" customFormat="1" x14ac:dyDescent="0.25">
      <c r="A480" s="12"/>
      <c r="B480" s="12"/>
      <c r="C480" s="12"/>
      <c r="D480" s="12"/>
      <c r="E480" s="12"/>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11</xdr:col>
                <xdr:colOff>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20" sqref="F20"/>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222</v>
      </c>
      <c r="D16" s="3">
        <v>5</v>
      </c>
      <c r="E16" t="s">
        <v>223</v>
      </c>
      <c r="F16" t="s">
        <v>224</v>
      </c>
    </row>
    <row r="17" spans="3:6" x14ac:dyDescent="0.25">
      <c r="C17" t="s">
        <v>270</v>
      </c>
      <c r="D17" s="3">
        <v>6</v>
      </c>
      <c r="E17" t="s">
        <v>270</v>
      </c>
      <c r="F17" t="s">
        <v>284</v>
      </c>
    </row>
    <row r="18" spans="3:6" x14ac:dyDescent="0.25">
      <c r="C18" t="s">
        <v>196</v>
      </c>
      <c r="D18" s="3">
        <v>7</v>
      </c>
      <c r="E18" t="s">
        <v>87</v>
      </c>
      <c r="F18" t="s">
        <v>202</v>
      </c>
    </row>
    <row r="19" spans="3:6" x14ac:dyDescent="0.25">
      <c r="C19" t="s">
        <v>290</v>
      </c>
      <c r="D19" s="3">
        <v>8</v>
      </c>
      <c r="E19" t="s">
        <v>291</v>
      </c>
      <c r="F19" t="s">
        <v>292</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2026-06-29T12:28:08Z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